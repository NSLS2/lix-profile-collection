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esbyrnes/Downloads/"/>
    </mc:Choice>
  </mc:AlternateContent>
  <xr:revisionPtr revIDLastSave="0" documentId="13_ncr:1_{5F9A8BF8-321D-EA43-A577-E6DA58DE3D32}" xr6:coauthVersionLast="47" xr6:coauthVersionMax="47" xr10:uidLastSave="{00000000-0000-0000-0000-000000000000}"/>
  <bookViews>
    <workbookView xWindow="0" yWindow="880" windowWidth="30960" windowHeight="19420" tabRatio="500" xr2:uid="{00000000-000D-0000-FFFF-FFFF00000000}"/>
  </bookViews>
  <sheets>
    <sheet name="Samples" sheetId="1" r:id="rId1"/>
    <sheet name="Info" sheetId="2" r:id="rId2"/>
    <sheet name="Agilent_Tray_forma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O6" i="1" l="1"/>
  <c r="N6" i="1"/>
  <c r="L6" i="1"/>
  <c r="K6" i="1"/>
  <c r="J6" i="1"/>
  <c r="I6" i="1"/>
  <c r="H6" i="1"/>
  <c r="O5" i="1"/>
  <c r="N5" i="1"/>
  <c r="L5" i="1"/>
  <c r="K5" i="1"/>
  <c r="J5" i="1"/>
  <c r="I5" i="1"/>
  <c r="H5" i="1"/>
  <c r="O4" i="1"/>
  <c r="N4" i="1"/>
  <c r="L4" i="1"/>
  <c r="K4" i="1"/>
  <c r="J4" i="1"/>
  <c r="I4" i="1"/>
  <c r="H4" i="1"/>
  <c r="O3" i="1"/>
  <c r="N3" i="1"/>
  <c r="L3" i="1"/>
  <c r="K3" i="1"/>
  <c r="J3" i="1"/>
  <c r="I3" i="1"/>
  <c r="H3" i="1"/>
  <c r="O2" i="1"/>
  <c r="N2" i="1"/>
  <c r="L2" i="1"/>
  <c r="K2" i="1"/>
  <c r="J2" i="1"/>
  <c r="I2" i="1"/>
  <c r="H2" i="1"/>
</calcChain>
</file>

<file path=xl/sharedStrings.xml><?xml version="1.0" encoding="utf-8"?>
<sst xmlns="http://schemas.openxmlformats.org/spreadsheetml/2006/main" count="267" uniqueCount="169">
  <si>
    <t>batchID</t>
  </si>
  <si>
    <t>Vial</t>
  </si>
  <si>
    <t>Sample Name</t>
  </si>
  <si>
    <t>Volume</t>
  </si>
  <si>
    <t>Buffer</t>
  </si>
  <si>
    <t>Acq. method</t>
  </si>
  <si>
    <t>Sample Type</t>
  </si>
  <si>
    <t>Run Time</t>
  </si>
  <si>
    <t>Flow Rate</t>
  </si>
  <si>
    <t>Column type</t>
  </si>
  <si>
    <t>Proc. method</t>
  </si>
  <si>
    <t>Injection source</t>
  </si>
  <si>
    <t>Data file</t>
  </si>
  <si>
    <t>Inj/Vial</t>
  </si>
  <si>
    <t>Valve Position</t>
  </si>
  <si>
    <t>a1</t>
  </si>
  <si>
    <t>D1F-G01</t>
  </si>
  <si>
    <t>Lysozyme_5mg_sep19</t>
  </si>
  <si>
    <t>25mMHepes_pH8.0_50mM_Potassium_Acetate_1mMIP6_1mMTCEP_5percent_glycerol</t>
  </si>
  <si>
    <t>superdex_5_150_channel_B.amx</t>
  </si>
  <si>
    <t>Sample</t>
  </si>
  <si>
    <t>a</t>
  </si>
  <si>
    <t>a2</t>
  </si>
  <si>
    <t>D1F-H01</t>
  </si>
  <si>
    <t>DDM0</t>
  </si>
  <si>
    <t>Instructions:</t>
  </si>
  <si>
    <t>1. Do not change the header line in the Samples sheet.</t>
  </si>
  <si>
    <t>2. Do not change this sheet other than the method listing below.</t>
  </si>
  <si>
    <t>2. List only valid method files (starting on row 10), and fill in the correct parameters for the method.</t>
  </si>
  <si>
    <t>valid Vial Names</t>
  </si>
  <si>
    <t>DF1-***</t>
  </si>
  <si>
    <t>valid methods</t>
  </si>
  <si>
    <t>#</t>
  </si>
  <si>
    <t>ColumnID</t>
  </si>
  <si>
    <t>Column Type</t>
  </si>
  <si>
    <t>Flow Rate A</t>
  </si>
  <si>
    <t>should be column_type, flowrate, time(min)</t>
  </si>
  <si>
    <t>Injection_5.amx</t>
  </si>
  <si>
    <t>GE Superdex Increase 200 5/150 GL</t>
  </si>
  <si>
    <t>processing_test_AIA.pmx</t>
  </si>
  <si>
    <t>HipAls</t>
  </si>
  <si>
    <t>A</t>
  </si>
  <si>
    <t>superdex_200_5_150_old.amx</t>
  </si>
  <si>
    <t>CSV_ADF_export.pmx</t>
  </si>
  <si>
    <t>dSEC2B.amx</t>
  </si>
  <si>
    <t>dSEC2</t>
  </si>
  <si>
    <t>B</t>
  </si>
  <si>
    <t>noUV_lamp.amx</t>
  </si>
  <si>
    <t>None</t>
  </si>
  <si>
    <t>check</t>
  </si>
  <si>
    <t>superdex_5_150.amx</t>
  </si>
  <si>
    <t>dSEC2_035_25min.amx</t>
  </si>
  <si>
    <t>Sepharose4B.amx</t>
  </si>
  <si>
    <t>Sepharose4B</t>
  </si>
  <si>
    <t>test.amx</t>
  </si>
  <si>
    <t>no_column</t>
  </si>
  <si>
    <t>superdex_10_300_channel_C.amx</t>
  </si>
  <si>
    <t>GE Superdex Increase 200 10/300 GL</t>
  </si>
  <si>
    <t>superdex_200_3.2_300.amx</t>
  </si>
  <si>
    <t>Superdex 200 Increase 3.2 300</t>
  </si>
  <si>
    <t>superdex_5_150_channel_C.amx</t>
  </si>
  <si>
    <t>superdex_10_300_channel_B.amx</t>
  </si>
  <si>
    <t>dsec7_optimize.amx</t>
  </si>
  <si>
    <t>dSEC7</t>
  </si>
  <si>
    <t>valid column type</t>
  </si>
  <si>
    <t>GE Superdex Increase 75 5/150 GL</t>
  </si>
  <si>
    <t>GE Superdex Increase 75 10/300 GL</t>
  </si>
  <si>
    <t>Blank</t>
  </si>
  <si>
    <t>Cal. Std.</t>
  </si>
  <si>
    <t>Sys Suit</t>
  </si>
  <si>
    <t>Other valid name of columns</t>
  </si>
  <si>
    <t>96-well Format</t>
  </si>
  <si>
    <t>D1F-A01</t>
  </si>
  <si>
    <t>D1F-B01</t>
  </si>
  <si>
    <t>D1F-C01</t>
  </si>
  <si>
    <t>D1F-D01</t>
  </si>
  <si>
    <t>D1F-E01</t>
  </si>
  <si>
    <t>D1F-F01</t>
  </si>
  <si>
    <t>D1F-A02</t>
  </si>
  <si>
    <t>D1F-B02</t>
  </si>
  <si>
    <t>D1F-C02</t>
  </si>
  <si>
    <t>D1F-D02</t>
  </si>
  <si>
    <t>D1F-E02</t>
  </si>
  <si>
    <t>D1F-F02</t>
  </si>
  <si>
    <t>D1F-G02</t>
  </si>
  <si>
    <t>D1F-H02</t>
  </si>
  <si>
    <t>D1F-A03</t>
  </si>
  <si>
    <t>D1F-B03</t>
  </si>
  <si>
    <t>D1F-C03</t>
  </si>
  <si>
    <t>D1F-D03</t>
  </si>
  <si>
    <t>D1F-E03</t>
  </si>
  <si>
    <t>D1F-F03</t>
  </si>
  <si>
    <t>D1F-G03</t>
  </si>
  <si>
    <t>D1F-H03</t>
  </si>
  <si>
    <t>D1F-A04</t>
  </si>
  <si>
    <t>D1F-B04</t>
  </si>
  <si>
    <t>D1F-C04</t>
  </si>
  <si>
    <t>D1F-D04</t>
  </si>
  <si>
    <t>D1F-E04</t>
  </si>
  <si>
    <t>D1F-F04</t>
  </si>
  <si>
    <t>D1F-G04</t>
  </si>
  <si>
    <t>D1F-H04</t>
  </si>
  <si>
    <t>D1F-A05</t>
  </si>
  <si>
    <t>D1F-B05</t>
  </si>
  <si>
    <t>D1F-C05</t>
  </si>
  <si>
    <t>D1F-D05</t>
  </si>
  <si>
    <t>D1F-E05</t>
  </si>
  <si>
    <t>D1F-F05</t>
  </si>
  <si>
    <t>D1F-G05</t>
  </si>
  <si>
    <t>D1F-H05</t>
  </si>
  <si>
    <t>D1F-A06</t>
  </si>
  <si>
    <t>D1F-B06</t>
  </si>
  <si>
    <t>D1F-C06</t>
  </si>
  <si>
    <t>D1F-D06</t>
  </si>
  <si>
    <t>D1F-E06</t>
  </si>
  <si>
    <t>D1F-F06</t>
  </si>
  <si>
    <t>D1F-G06</t>
  </si>
  <si>
    <t>D1F-H06</t>
  </si>
  <si>
    <t>D1F-A07</t>
  </si>
  <si>
    <t>D1F-B07</t>
  </si>
  <si>
    <t>D1F-C07</t>
  </si>
  <si>
    <t>D1F-D07</t>
  </si>
  <si>
    <t>D1F-E07</t>
  </si>
  <si>
    <t>D1F-F07</t>
  </si>
  <si>
    <t>D1F-G07</t>
  </si>
  <si>
    <t>D1F-H07</t>
  </si>
  <si>
    <t>D1F-A08</t>
  </si>
  <si>
    <t>D1F-B08</t>
  </si>
  <si>
    <t>D1F-C08</t>
  </si>
  <si>
    <t>D1F-D08</t>
  </si>
  <si>
    <t>D1F-E08</t>
  </si>
  <si>
    <t>D1F-F08</t>
  </si>
  <si>
    <t>D1F-G08</t>
  </si>
  <si>
    <t>D1F-H08</t>
  </si>
  <si>
    <t>D1F-A09</t>
  </si>
  <si>
    <t>D1F-B09</t>
  </si>
  <si>
    <t>D1F-C09</t>
  </si>
  <si>
    <t>D1F-D09</t>
  </si>
  <si>
    <t>D1F-E09</t>
  </si>
  <si>
    <t>D1F-F09</t>
  </si>
  <si>
    <t>D1F-G09</t>
  </si>
  <si>
    <t>D1F-H09</t>
  </si>
  <si>
    <t>D1F-A10</t>
  </si>
  <si>
    <t>D1F-B10</t>
  </si>
  <si>
    <t>D1F-C10</t>
  </si>
  <si>
    <t>D1F-D10</t>
  </si>
  <si>
    <t>D1F-E10</t>
  </si>
  <si>
    <t>D1F-F10</t>
  </si>
  <si>
    <t>D1F-G10</t>
  </si>
  <si>
    <t>D1F-H10</t>
  </si>
  <si>
    <t>D1F-A11</t>
  </si>
  <si>
    <t>D1F-B11</t>
  </si>
  <si>
    <t>D1F-C11</t>
  </si>
  <si>
    <t>D1F-D11</t>
  </si>
  <si>
    <t>D1F-E11</t>
  </si>
  <si>
    <t>D1F-F11</t>
  </si>
  <si>
    <t>D1F-G11</t>
  </si>
  <si>
    <t>D1F-H11</t>
  </si>
  <si>
    <t>D1F-A12</t>
  </si>
  <si>
    <t>D1F-B12</t>
  </si>
  <si>
    <t>D1F-C12</t>
  </si>
  <si>
    <t>D1F-D12</t>
  </si>
  <si>
    <t>D1F-E12</t>
  </si>
  <si>
    <t>D1F-F12</t>
  </si>
  <si>
    <t>D1F-G12</t>
  </si>
  <si>
    <t>D1F-H12</t>
  </si>
  <si>
    <t>Vial Format</t>
  </si>
  <si>
    <t>Lysozyme_5mg_sep19_V</t>
  </si>
  <si>
    <t>Lysozyme_5mg_sep19_E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</si>
</sst>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  <charset val="1"/>
    </font>
    <font>
      <sz val="12"/>
      <color rgb="FF999999"/>
      <name val="Calibri"/>
      <family val="2"/>
      <charset val="1"/>
    </font>
    <font>
      <sz val="12"/>
      <color rgb="FFCCCCCC"/>
      <name val="Calibri"/>
      <family val="2"/>
      <charset val="1"/>
    </font>
    <font>
      <sz val="12"/>
      <color rgb="FFB2B2B2"/>
      <name val="Calibri"/>
      <family val="2"/>
      <charset val="1"/>
    </font>
    <font>
      <sz val="12"/>
      <color rgb="FFAFABAB"/>
      <name val="Calibri"/>
      <family val="2"/>
      <charset val="1"/>
    </font>
    <font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wrapText="1"/>
    </xf>
    <xf numFmtId="0" fontId="5" fillId="0" borderId="0" xfId="0" applyFont="1"/>
    <xf numFmtId="0" fontId="5" fillId="0" borderId="0" xfId="0" applyFont="1" applyAlignment="1">
      <alignment wrapText="1"/>
    </xf>
    <xf numFmtId="0" fontId="5" fillId="0" borderId="1" xfId="0" applyFont="1" applyBorder="1" applyAlignment="1">
      <alignment wrapText="1"/>
    </xf>
    <xf numFmtId="0" fontId="0" fillId="0" borderId="2" xfId="0" applyBorder="1" applyAlignment="1">
      <alignment wrapText="1"/>
    </xf>
    <xf numFmtId="0" fontId="5" fillId="0" borderId="3" xfId="0" applyFont="1" applyBorder="1" applyAlignment="1">
      <alignment wrapText="1"/>
    </xf>
    <xf numFmtId="0" fontId="0" fillId="0" borderId="2" xfId="0" applyBorder="1"/>
    <xf numFmtId="0" fontId="5" fillId="0" borderId="4" xfId="0" applyFont="1" applyBorder="1"/>
    <xf numFmtId="0" fontId="0" fillId="0" borderId="5" xfId="0" applyBorder="1"/>
    <xf numFmtId="0" fontId="5" fillId="0" borderId="6" xfId="0" applyFont="1" applyBorder="1"/>
    <xf numFmtId="0" fontId="0" fillId="0" borderId="7" xfId="0" applyBorder="1"/>
    <xf numFmtId="0" fontId="5" fillId="0" borderId="6" xfId="0" applyFont="1" applyBorder="1" applyAlignment="1">
      <alignment wrapText="1"/>
    </xf>
    <xf numFmtId="0" fontId="0" fillId="0" borderId="6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AFABAB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B2B2B2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tabSelected="1" zoomScaleNormal="100" workbookViewId="0">
      <selection activeCell="C15" sqref="C15"/>
    </sheetView>
  </sheetViews>
  <sheetFormatPr baseColWidth="10" defaultColWidth="12" defaultRowHeight="13" x14ac:dyDescent="0.15"/>
  <cols>
    <col min="3" max="3" width="26.6640625" customWidth="1"/>
    <col min="6" max="6" width="43.1640625" customWidth="1"/>
  </cols>
  <sheetData>
    <row r="1" spans="1:15" ht="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t="s">
        <v>14</v>
      </c>
    </row>
    <row r="2" spans="1:15" ht="16" x14ac:dyDescent="0.2">
      <c r="A2" t="s">
        <v>15</v>
      </c>
      <c r="B2" t="s">
        <v>16</v>
      </c>
      <c r="C2" t="s">
        <v>17</v>
      </c>
      <c r="D2">
        <v>50</v>
      </c>
      <c r="E2" t="s">
        <v>18</v>
      </c>
      <c r="F2" t="s">
        <v>19</v>
      </c>
      <c r="G2" s="1" t="s">
        <v>20</v>
      </c>
      <c r="H2" s="2">
        <f>VLOOKUP($F2,Info!$C$11:$H$27,4,0)</f>
        <v>15</v>
      </c>
      <c r="I2" s="2">
        <f>VLOOKUP($F2,Info!$C$11:$H$27,5,0)</f>
        <v>0.3</v>
      </c>
      <c r="J2" s="4" t="str">
        <f>VLOOKUP($F2,Info!$C$11:$H$27,3,0)</f>
        <v>GE Superdex Increase 200 5/150 GL</v>
      </c>
      <c r="K2" s="4" t="str">
        <f>VLOOKUP($F2,Info!$C$11:$H$27,6,0)</f>
        <v>CSV_ADF_export.pmx</v>
      </c>
      <c r="L2" s="4" t="str">
        <f>VLOOKUP($F2,Info!$C$11:$J$27,7,0)</f>
        <v>HipAls</v>
      </c>
      <c r="M2" s="2" t="s">
        <v>21</v>
      </c>
      <c r="N2" s="3">
        <f>VLOOKUP($F2,Info!$C$11:$K$27,9,0)</f>
        <v>1</v>
      </c>
      <c r="O2" s="3" t="str">
        <f>VLOOKUP($F2,Info!$C$11:$L$28, 10,0)</f>
        <v>B</v>
      </c>
    </row>
    <row r="3" spans="1:15" ht="16" x14ac:dyDescent="0.2">
      <c r="A3" t="s">
        <v>22</v>
      </c>
      <c r="B3" t="s">
        <v>23</v>
      </c>
      <c r="C3" t="s">
        <v>24</v>
      </c>
      <c r="D3">
        <v>50</v>
      </c>
      <c r="E3" t="s">
        <v>24</v>
      </c>
      <c r="F3" t="s">
        <v>19</v>
      </c>
      <c r="G3" s="1" t="s">
        <v>20</v>
      </c>
      <c r="H3" s="2">
        <f>VLOOKUP($F3,Info!$C$11:$H$27,4,0)</f>
        <v>15</v>
      </c>
      <c r="I3" s="2">
        <f>VLOOKUP($F3,Info!$C$11:$H$27,5,0)</f>
        <v>0.3</v>
      </c>
      <c r="J3" s="4" t="str">
        <f>VLOOKUP($F3,Info!$C$11:$H$27,3,0)</f>
        <v>GE Superdex Increase 200 5/150 GL</v>
      </c>
      <c r="K3" s="4" t="str">
        <f>VLOOKUP($F3,Info!$C$11:$H$27,6,0)</f>
        <v>CSV_ADF_export.pmx</v>
      </c>
      <c r="L3" s="4" t="str">
        <f>VLOOKUP($F3,Info!$C$11:$J$27,7,0)</f>
        <v>HipAls</v>
      </c>
      <c r="M3" s="2" t="s">
        <v>21</v>
      </c>
      <c r="N3" s="3">
        <f>VLOOKUP($F3,Info!$C$11:$K$27,9,0)</f>
        <v>1</v>
      </c>
      <c r="O3" s="3" t="str">
        <f>VLOOKUP($F3,Info!$C$11:$L$28, 10,0)</f>
        <v>B</v>
      </c>
    </row>
    <row r="4" spans="1:15" ht="16" x14ac:dyDescent="0.2">
      <c r="A4" t="s">
        <v>15</v>
      </c>
      <c r="B4" t="s">
        <v>23</v>
      </c>
      <c r="C4" t="s">
        <v>17</v>
      </c>
      <c r="D4">
        <v>50</v>
      </c>
      <c r="E4" t="s">
        <v>18</v>
      </c>
      <c r="F4" t="s">
        <v>19</v>
      </c>
      <c r="G4" s="1" t="s">
        <v>20</v>
      </c>
      <c r="H4" s="2">
        <f>VLOOKUP($F4,Info!$C$11:$H$27,4,0)</f>
        <v>15</v>
      </c>
      <c r="I4" s="2">
        <f>VLOOKUP($F4,Info!$C$11:$H$27,5,0)</f>
        <v>0.3</v>
      </c>
      <c r="J4" s="4" t="str">
        <f>VLOOKUP($F4,Info!$C$11:$H$27,3,0)</f>
        <v>GE Superdex Increase 200 5/150 GL</v>
      </c>
      <c r="K4" s="4" t="str">
        <f>VLOOKUP($F4,Info!$C$11:$H$27,6,0)</f>
        <v>CSV_ADF_export.pmx</v>
      </c>
      <c r="L4" s="4" t="str">
        <f>VLOOKUP($F4,Info!$C$11:$J$27,7,0)</f>
        <v>HipAls</v>
      </c>
      <c r="M4" s="2" t="s">
        <v>21</v>
      </c>
      <c r="N4" s="3">
        <f>VLOOKUP($F4,Info!$C$11:$K$27,9,0)</f>
        <v>1</v>
      </c>
      <c r="O4" s="3" t="str">
        <f>VLOOKUP($F4,Info!$C$11:$L$28, 10,0)</f>
        <v>B</v>
      </c>
    </row>
    <row r="5" spans="1:15" ht="16" x14ac:dyDescent="0.2">
      <c r="A5" t="s">
        <v>15</v>
      </c>
      <c r="B5" t="s">
        <v>79</v>
      </c>
      <c r="C5" t="s">
        <v>167</v>
      </c>
      <c r="D5">
        <v>50</v>
      </c>
      <c r="E5" t="s">
        <v>18</v>
      </c>
      <c r="F5" t="s">
        <v>19</v>
      </c>
      <c r="G5" s="1" t="s">
        <v>20</v>
      </c>
      <c r="H5" s="2">
        <f>VLOOKUP($F5,Info!$C$11:$H$27,4,0)</f>
        <v>15</v>
      </c>
      <c r="I5" s="2">
        <f>VLOOKUP($F5,Info!$C$11:$H$27,5,0)</f>
        <v>0.3</v>
      </c>
      <c r="J5" s="4" t="str">
        <f>VLOOKUP($F5,Info!$C$11:$H$27,3,0)</f>
        <v>GE Superdex Increase 200 5/150 GL</v>
      </c>
      <c r="K5" s="4" t="str">
        <f>VLOOKUP($F5,Info!$C$11:$H$27,6,0)</f>
        <v>CSV_ADF_export.pmx</v>
      </c>
      <c r="L5" s="4" t="str">
        <f>VLOOKUP($F5,Info!$C$11:$J$27,7,0)</f>
        <v>HipAls</v>
      </c>
      <c r="M5" s="2" t="s">
        <v>21</v>
      </c>
      <c r="N5" s="3">
        <f>VLOOKUP($F5,Info!$C$11:$K$27,9,0)</f>
        <v>1</v>
      </c>
      <c r="O5" s="3" t="str">
        <f>VLOOKUP($F5,Info!$C$11:$L$28, 10,0)</f>
        <v>B</v>
      </c>
    </row>
    <row r="6" spans="1:15" ht="16" x14ac:dyDescent="0.2">
      <c r="A6" t="s">
        <v>15</v>
      </c>
      <c r="B6" t="s">
        <v>81</v>
      </c>
      <c r="C6" t="s">
        <v>168</v>
      </c>
      <c r="D6">
        <v>80</v>
      </c>
      <c r="E6" t="s">
        <v>18</v>
      </c>
      <c r="F6" t="s">
        <v>19</v>
      </c>
      <c r="G6" s="1" t="s">
        <v>20</v>
      </c>
      <c r="H6" s="2">
        <f>VLOOKUP($F6,Info!$C$11:$H$27,4,0)</f>
        <v>15</v>
      </c>
      <c r="I6" s="2">
        <f>VLOOKUP($F6,Info!$C$11:$H$27,5,0)</f>
        <v>0.3</v>
      </c>
      <c r="J6" s="4" t="str">
        <f>VLOOKUP($F6,Info!$C$11:$H$27,3,0)</f>
        <v>GE Superdex Increase 200 5/150 GL</v>
      </c>
      <c r="K6" s="4" t="str">
        <f>VLOOKUP($F6,Info!$C$11:$H$27,6,0)</f>
        <v>CSV_ADF_export.pmx</v>
      </c>
      <c r="L6" s="4" t="str">
        <f>VLOOKUP($F6,Info!$C$11:$J$27,7,0)</f>
        <v>HipAls</v>
      </c>
      <c r="M6" s="2" t="s">
        <v>21</v>
      </c>
      <c r="N6" s="3">
        <f>VLOOKUP($F6,Info!$C$11:$K$27,9,0)</f>
        <v>1</v>
      </c>
      <c r="O6" s="3" t="str">
        <f>VLOOKUP($F6,Info!$C$11:$L$28, 10,0)</f>
        <v>B</v>
      </c>
    </row>
    <row r="7" spans="1:15" ht="16" x14ac:dyDescent="0.2">
      <c r="G7" s="1"/>
      <c r="H7" s="2"/>
      <c r="I7" s="2"/>
      <c r="J7" s="4"/>
      <c r="K7" s="4"/>
      <c r="L7" s="4"/>
      <c r="M7" s="2"/>
      <c r="N7" s="3"/>
      <c r="O7" s="3"/>
    </row>
    <row r="8" spans="1:15" ht="16" x14ac:dyDescent="0.2">
      <c r="G8" s="1"/>
      <c r="H8" s="2"/>
      <c r="I8" s="2"/>
      <c r="J8" s="4"/>
      <c r="K8" s="4"/>
      <c r="L8" s="4"/>
      <c r="M8" s="2"/>
      <c r="N8" s="3"/>
      <c r="O8" s="3"/>
    </row>
    <row r="9" spans="1:15" ht="16" x14ac:dyDescent="0.2">
      <c r="G9" s="1"/>
      <c r="H9" s="2"/>
      <c r="I9" s="2"/>
      <c r="J9" s="4"/>
      <c r="K9" s="4"/>
      <c r="L9" s="4"/>
      <c r="M9" s="2"/>
      <c r="N9" s="3"/>
      <c r="O9" s="3"/>
    </row>
    <row r="10" spans="1:15" ht="16" x14ac:dyDescent="0.2">
      <c r="G10" s="1"/>
      <c r="H10" s="2"/>
      <c r="I10" s="2"/>
      <c r="J10" s="4"/>
      <c r="K10" s="4"/>
      <c r="L10" s="4"/>
      <c r="M10" s="2"/>
      <c r="N10" s="3"/>
      <c r="O10" s="3"/>
    </row>
    <row r="11" spans="1:15" ht="16" x14ac:dyDescent="0.2">
      <c r="G11" s="1"/>
      <c r="H11" s="2"/>
      <c r="I11" s="2"/>
      <c r="J11" s="4"/>
      <c r="K11" s="4"/>
      <c r="L11" s="4"/>
      <c r="M11" s="2"/>
      <c r="N11" s="3"/>
      <c r="O11" s="3"/>
    </row>
    <row r="12" spans="1:15" ht="16" x14ac:dyDescent="0.2">
      <c r="G12" s="1"/>
      <c r="H12" s="2"/>
      <c r="I12" s="2"/>
      <c r="J12" s="4"/>
      <c r="K12" s="4"/>
      <c r="L12" s="4"/>
      <c r="M12" s="2"/>
      <c r="N12" s="3"/>
      <c r="O12" s="3"/>
    </row>
    <row r="13" spans="1:15" ht="16" x14ac:dyDescent="0.2">
      <c r="G13" s="1"/>
      <c r="H13" s="2"/>
      <c r="I13" s="2"/>
      <c r="J13" s="4"/>
      <c r="K13" s="4"/>
      <c r="L13" s="4"/>
      <c r="M13" s="2"/>
      <c r="N13" s="3"/>
      <c r="O13" s="3"/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operator="equal" allowBlank="1" showErrorMessage="1" xr:uid="{00000000-0002-0000-0000-000000000000}">
          <x14:formula1>
            <xm:f>Agilent_Tray_format!$A$2:$H$13</xm:f>
          </x14:formula1>
          <x14:formula2>
            <xm:f>0</xm:f>
          </x14:formula2>
          <xm:sqref>B2:B13</xm:sqref>
        </x14:dataValidation>
        <x14:dataValidation type="list" operator="equal" allowBlank="1" showInputMessage="1" showErrorMessage="1" xr:uid="{00000000-0002-0000-0000-000001000000}">
          <x14:formula1>
            <xm:f>Info!$C$35:$C$38</xm:f>
          </x14:formula1>
          <x14:formula2>
            <xm:f>0</xm:f>
          </x14:formula2>
          <xm:sqref>G2:G13</xm:sqref>
        </x14:dataValidation>
        <x14:dataValidation type="list" operator="equal" allowBlank="1" showErrorMessage="1" xr:uid="{00000000-0002-0000-0000-000002000000}">
          <x14:formula1>
            <xm:f>Info!$C$11:$C$24</xm:f>
          </x14:formula1>
          <x14:formula2>
            <xm:f>0</xm:f>
          </x14:formula2>
          <xm:sqref>F2:F1003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0"/>
  <sheetViews>
    <sheetView topLeftCell="A10" zoomScaleNormal="100" workbookViewId="0">
      <selection activeCell="G15" sqref="G15"/>
    </sheetView>
  </sheetViews>
  <sheetFormatPr baseColWidth="10" defaultColWidth="9.5" defaultRowHeight="13" x14ac:dyDescent="0.15"/>
  <cols>
    <col min="1" max="1" width="16.83203125" style="5" customWidth="1"/>
    <col min="2" max="2" width="4" style="5" customWidth="1"/>
    <col min="3" max="3" width="63.5" style="5" customWidth="1"/>
    <col min="4" max="4" width="9.83203125" customWidth="1"/>
    <col min="5" max="5" width="32.83203125" customWidth="1"/>
    <col min="6" max="6" width="16.5" customWidth="1"/>
    <col min="7" max="7" width="11.6640625" customWidth="1"/>
    <col min="8" max="8" width="34.1640625" customWidth="1"/>
  </cols>
  <sheetData>
    <row r="1" spans="1:12" ht="14" x14ac:dyDescent="0.15">
      <c r="A1" s="5" t="s">
        <v>25</v>
      </c>
    </row>
    <row r="2" spans="1:12" ht="19" customHeight="1" x14ac:dyDescent="0.2">
      <c r="A2" s="6" t="s">
        <v>26</v>
      </c>
      <c r="B2" s="7"/>
      <c r="C2" s="7"/>
      <c r="D2" s="7"/>
      <c r="E2" s="7"/>
    </row>
    <row r="3" spans="1:12" ht="19" customHeight="1" x14ac:dyDescent="0.2">
      <c r="A3" s="6" t="s">
        <v>27</v>
      </c>
      <c r="B3" s="7"/>
      <c r="C3" s="7"/>
      <c r="D3" s="7"/>
      <c r="E3" s="7"/>
    </row>
    <row r="4" spans="1:12" ht="84" x14ac:dyDescent="0.15">
      <c r="A4" s="5" t="s">
        <v>28</v>
      </c>
    </row>
    <row r="7" spans="1:12" ht="68" x14ac:dyDescent="0.2">
      <c r="A7" s="5" t="s">
        <v>29</v>
      </c>
      <c r="B7" s="8" t="s">
        <v>30</v>
      </c>
    </row>
    <row r="8" spans="1:12" x14ac:dyDescent="0.15">
      <c r="B8" s="9">
        <v>1</v>
      </c>
    </row>
    <row r="10" spans="1:12" ht="16" x14ac:dyDescent="0.2">
      <c r="A10" s="5" t="s">
        <v>31</v>
      </c>
      <c r="B10" s="6" t="s">
        <v>32</v>
      </c>
      <c r="C10" s="6" t="s">
        <v>5</v>
      </c>
      <c r="D10" t="s">
        <v>33</v>
      </c>
      <c r="E10" t="s">
        <v>34</v>
      </c>
      <c r="F10" t="s">
        <v>7</v>
      </c>
      <c r="G10" t="s">
        <v>35</v>
      </c>
      <c r="H10" t="s">
        <v>10</v>
      </c>
      <c r="I10" t="s">
        <v>11</v>
      </c>
      <c r="J10" t="s">
        <v>12</v>
      </c>
      <c r="K10" t="s">
        <v>13</v>
      </c>
      <c r="L10" t="s">
        <v>14</v>
      </c>
    </row>
    <row r="11" spans="1:12" ht="43" x14ac:dyDescent="0.2">
      <c r="A11" s="5" t="s">
        <v>36</v>
      </c>
      <c r="B11" s="8">
        <v>1</v>
      </c>
      <c r="C11" s="7" t="s">
        <v>37</v>
      </c>
      <c r="D11">
        <v>1</v>
      </c>
      <c r="E11" s="6" t="s">
        <v>38</v>
      </c>
      <c r="F11">
        <v>12</v>
      </c>
      <c r="G11">
        <v>0.5</v>
      </c>
      <c r="H11" t="s">
        <v>39</v>
      </c>
      <c r="I11" t="s">
        <v>40</v>
      </c>
      <c r="J11" t="s">
        <v>21</v>
      </c>
      <c r="K11">
        <v>1</v>
      </c>
      <c r="L11" t="s">
        <v>41</v>
      </c>
    </row>
    <row r="12" spans="1:12" ht="16" x14ac:dyDescent="0.2">
      <c r="B12" s="10">
        <v>2</v>
      </c>
      <c r="C12" s="6" t="s">
        <v>42</v>
      </c>
      <c r="D12">
        <v>1</v>
      </c>
      <c r="E12" s="6" t="s">
        <v>38</v>
      </c>
      <c r="F12">
        <v>12</v>
      </c>
      <c r="G12">
        <v>0.35</v>
      </c>
      <c r="H12" t="s">
        <v>43</v>
      </c>
      <c r="I12" t="s">
        <v>40</v>
      </c>
      <c r="J12" t="s">
        <v>21</v>
      </c>
      <c r="K12">
        <v>1</v>
      </c>
      <c r="L12" t="s">
        <v>41</v>
      </c>
    </row>
    <row r="13" spans="1:12" ht="16" x14ac:dyDescent="0.2">
      <c r="A13" s="7"/>
      <c r="B13" s="10">
        <v>3</v>
      </c>
      <c r="C13" s="6" t="s">
        <v>44</v>
      </c>
      <c r="D13" s="6">
        <v>1</v>
      </c>
      <c r="E13" s="6" t="s">
        <v>45</v>
      </c>
      <c r="F13">
        <v>15</v>
      </c>
      <c r="G13">
        <v>0.35</v>
      </c>
      <c r="H13" t="s">
        <v>43</v>
      </c>
      <c r="I13" t="s">
        <v>40</v>
      </c>
      <c r="J13" t="s">
        <v>21</v>
      </c>
      <c r="K13">
        <v>1</v>
      </c>
      <c r="L13" t="s">
        <v>46</v>
      </c>
    </row>
    <row r="14" spans="1:12" ht="14" x14ac:dyDescent="0.15">
      <c r="B14" s="11">
        <v>4</v>
      </c>
      <c r="C14" s="5" t="s">
        <v>19</v>
      </c>
      <c r="D14">
        <v>1</v>
      </c>
      <c r="E14" t="s">
        <v>38</v>
      </c>
      <c r="F14">
        <v>15</v>
      </c>
      <c r="G14">
        <v>0.3</v>
      </c>
      <c r="H14" t="s">
        <v>43</v>
      </c>
      <c r="I14" t="s">
        <v>40</v>
      </c>
      <c r="J14" t="s">
        <v>21</v>
      </c>
      <c r="K14">
        <v>1</v>
      </c>
      <c r="L14" t="s">
        <v>46</v>
      </c>
    </row>
    <row r="15" spans="1:12" ht="16" x14ac:dyDescent="0.2">
      <c r="A15" s="7"/>
      <c r="B15" s="11">
        <v>5</v>
      </c>
      <c r="C15" s="5" t="s">
        <v>47</v>
      </c>
      <c r="D15" s="6">
        <v>1</v>
      </c>
      <c r="E15" s="6" t="s">
        <v>48</v>
      </c>
      <c r="F15">
        <v>5</v>
      </c>
      <c r="G15">
        <v>0.35</v>
      </c>
      <c r="H15" t="s">
        <v>43</v>
      </c>
      <c r="I15" t="s">
        <v>40</v>
      </c>
      <c r="J15" t="s">
        <v>21</v>
      </c>
      <c r="K15">
        <v>1</v>
      </c>
      <c r="L15" t="s">
        <v>49</v>
      </c>
    </row>
    <row r="16" spans="1:12" ht="16" x14ac:dyDescent="0.2">
      <c r="A16" s="7"/>
      <c r="B16" s="11">
        <v>6</v>
      </c>
      <c r="C16" s="5" t="s">
        <v>50</v>
      </c>
      <c r="D16" s="6">
        <v>1</v>
      </c>
      <c r="E16" s="6" t="s">
        <v>38</v>
      </c>
      <c r="F16">
        <v>20</v>
      </c>
      <c r="G16">
        <v>0.35</v>
      </c>
      <c r="H16" t="s">
        <v>43</v>
      </c>
      <c r="I16" t="s">
        <v>40</v>
      </c>
      <c r="J16" t="s">
        <v>21</v>
      </c>
      <c r="K16">
        <v>1</v>
      </c>
      <c r="L16" t="s">
        <v>41</v>
      </c>
    </row>
    <row r="17" spans="1:12" ht="16" x14ac:dyDescent="0.2">
      <c r="A17" s="6"/>
      <c r="B17" s="11">
        <v>7</v>
      </c>
      <c r="C17" s="5" t="s">
        <v>51</v>
      </c>
      <c r="D17" s="6">
        <v>1</v>
      </c>
      <c r="E17" s="6" t="s">
        <v>45</v>
      </c>
      <c r="F17">
        <v>15</v>
      </c>
      <c r="G17">
        <v>0.35</v>
      </c>
      <c r="H17" t="s">
        <v>43</v>
      </c>
      <c r="I17" t="s">
        <v>40</v>
      </c>
      <c r="J17" t="s">
        <v>21</v>
      </c>
      <c r="K17">
        <v>1</v>
      </c>
      <c r="L17" t="s">
        <v>46</v>
      </c>
    </row>
    <row r="18" spans="1:12" ht="16" x14ac:dyDescent="0.2">
      <c r="A18" s="6"/>
      <c r="B18" s="11">
        <v>8</v>
      </c>
      <c r="C18" s="5" t="s">
        <v>52</v>
      </c>
      <c r="D18" s="6">
        <v>1</v>
      </c>
      <c r="E18" s="6" t="s">
        <v>53</v>
      </c>
      <c r="F18">
        <v>40</v>
      </c>
      <c r="G18">
        <v>0.1</v>
      </c>
      <c r="H18" t="s">
        <v>43</v>
      </c>
      <c r="I18" t="s">
        <v>40</v>
      </c>
      <c r="J18" t="s">
        <v>21</v>
      </c>
      <c r="K18">
        <v>1</v>
      </c>
      <c r="L18" t="s">
        <v>49</v>
      </c>
    </row>
    <row r="19" spans="1:12" ht="14" x14ac:dyDescent="0.15">
      <c r="B19" s="11">
        <v>9</v>
      </c>
      <c r="C19" s="5" t="s">
        <v>54</v>
      </c>
      <c r="D19">
        <v>1</v>
      </c>
      <c r="E19" t="s">
        <v>55</v>
      </c>
      <c r="F19">
        <v>4</v>
      </c>
      <c r="G19">
        <v>0.35</v>
      </c>
      <c r="H19" t="s">
        <v>43</v>
      </c>
      <c r="I19" t="s">
        <v>40</v>
      </c>
      <c r="J19" t="s">
        <v>21</v>
      </c>
      <c r="K19">
        <v>1</v>
      </c>
      <c r="L19" t="s">
        <v>46</v>
      </c>
    </row>
    <row r="20" spans="1:12" ht="14" x14ac:dyDescent="0.15">
      <c r="B20" s="11">
        <v>10</v>
      </c>
      <c r="C20" s="5" t="s">
        <v>56</v>
      </c>
      <c r="D20">
        <v>1</v>
      </c>
      <c r="E20" t="s">
        <v>57</v>
      </c>
      <c r="F20">
        <v>40</v>
      </c>
      <c r="G20">
        <v>0.75</v>
      </c>
      <c r="H20" t="s">
        <v>43</v>
      </c>
      <c r="I20" t="s">
        <v>40</v>
      </c>
      <c r="J20" t="s">
        <v>21</v>
      </c>
      <c r="K20">
        <v>1</v>
      </c>
      <c r="L20" t="s">
        <v>46</v>
      </c>
    </row>
    <row r="21" spans="1:12" ht="14" x14ac:dyDescent="0.15">
      <c r="B21" s="11">
        <v>11</v>
      </c>
      <c r="C21" s="5" t="s">
        <v>58</v>
      </c>
      <c r="D21">
        <v>1</v>
      </c>
      <c r="E21" t="s">
        <v>59</v>
      </c>
      <c r="F21">
        <v>40</v>
      </c>
      <c r="G21">
        <v>7.4999999999999997E-2</v>
      </c>
      <c r="H21" t="s">
        <v>43</v>
      </c>
      <c r="I21" t="s">
        <v>40</v>
      </c>
      <c r="J21" t="s">
        <v>21</v>
      </c>
      <c r="K21">
        <v>1</v>
      </c>
      <c r="L21" t="s">
        <v>46</v>
      </c>
    </row>
    <row r="22" spans="1:12" ht="14" x14ac:dyDescent="0.15">
      <c r="B22" s="11">
        <v>12</v>
      </c>
      <c r="C22" s="5" t="s">
        <v>60</v>
      </c>
      <c r="D22">
        <v>1</v>
      </c>
      <c r="E22" t="s">
        <v>38</v>
      </c>
      <c r="F22">
        <v>12</v>
      </c>
      <c r="G22">
        <v>0.35</v>
      </c>
      <c r="H22" t="s">
        <v>43</v>
      </c>
      <c r="I22" t="s">
        <v>40</v>
      </c>
      <c r="J22" t="s">
        <v>21</v>
      </c>
      <c r="K22">
        <v>1</v>
      </c>
      <c r="L22" t="s">
        <v>41</v>
      </c>
    </row>
    <row r="23" spans="1:12" ht="14" x14ac:dyDescent="0.15">
      <c r="B23" s="11">
        <v>13</v>
      </c>
      <c r="C23" s="5" t="s">
        <v>61</v>
      </c>
      <c r="D23">
        <v>1</v>
      </c>
      <c r="E23" t="s">
        <v>57</v>
      </c>
      <c r="F23">
        <v>50</v>
      </c>
      <c r="G23">
        <v>0.5</v>
      </c>
      <c r="H23" t="s">
        <v>43</v>
      </c>
      <c r="I23" t="s">
        <v>40</v>
      </c>
      <c r="J23" t="s">
        <v>21</v>
      </c>
      <c r="K23">
        <v>1</v>
      </c>
      <c r="L23" t="s">
        <v>46</v>
      </c>
    </row>
    <row r="24" spans="1:12" ht="14" x14ac:dyDescent="0.15">
      <c r="B24" s="11">
        <v>14</v>
      </c>
      <c r="C24" s="5" t="s">
        <v>62</v>
      </c>
      <c r="D24">
        <v>1</v>
      </c>
      <c r="E24" t="s">
        <v>63</v>
      </c>
      <c r="F24">
        <v>15</v>
      </c>
      <c r="G24">
        <v>0.35</v>
      </c>
      <c r="H24" t="s">
        <v>43</v>
      </c>
      <c r="I24" t="s">
        <v>40</v>
      </c>
      <c r="J24" t="s">
        <v>21</v>
      </c>
      <c r="K24">
        <v>1</v>
      </c>
      <c r="L24" t="s">
        <v>46</v>
      </c>
    </row>
    <row r="25" spans="1:12" ht="16" x14ac:dyDescent="0.2">
      <c r="A25" s="5" t="s">
        <v>64</v>
      </c>
      <c r="C25" s="12" t="s">
        <v>65</v>
      </c>
      <c r="D25" s="13"/>
    </row>
    <row r="26" spans="1:12" ht="16" x14ac:dyDescent="0.2">
      <c r="C26" s="14" t="s">
        <v>66</v>
      </c>
      <c r="D26" s="15"/>
    </row>
    <row r="27" spans="1:12" ht="16" x14ac:dyDescent="0.2">
      <c r="C27" s="14" t="s">
        <v>38</v>
      </c>
      <c r="D27" s="15"/>
    </row>
    <row r="28" spans="1:12" ht="16" x14ac:dyDescent="0.2">
      <c r="C28" s="14" t="s">
        <v>57</v>
      </c>
      <c r="D28" s="15"/>
    </row>
    <row r="29" spans="1:12" ht="17" x14ac:dyDescent="0.2">
      <c r="C29" s="16" t="s">
        <v>48</v>
      </c>
      <c r="D29" s="15"/>
    </row>
    <row r="30" spans="1:12" ht="16" x14ac:dyDescent="0.2">
      <c r="B30" s="7"/>
      <c r="C30" s="17" t="s">
        <v>45</v>
      </c>
      <c r="D30" s="15"/>
    </row>
    <row r="31" spans="1:12" ht="16" x14ac:dyDescent="0.2">
      <c r="B31" s="7"/>
      <c r="C31" s="14" t="s">
        <v>53</v>
      </c>
      <c r="D31" s="15"/>
    </row>
    <row r="32" spans="1:12" ht="16" x14ac:dyDescent="0.2">
      <c r="A32" s="7"/>
      <c r="B32"/>
      <c r="C32" s="18" t="s">
        <v>59</v>
      </c>
      <c r="D32" s="19"/>
    </row>
    <row r="33" spans="1:4" ht="16" x14ac:dyDescent="0.2">
      <c r="A33" s="7"/>
      <c r="B33"/>
      <c r="C33" s="18" t="s">
        <v>63</v>
      </c>
      <c r="D33" s="19"/>
    </row>
    <row r="34" spans="1:4" ht="16" x14ac:dyDescent="0.2">
      <c r="A34" s="7"/>
      <c r="B34"/>
      <c r="C34" s="18"/>
      <c r="D34" s="19"/>
    </row>
    <row r="35" spans="1:4" ht="17" x14ac:dyDescent="0.2">
      <c r="A35" s="7" t="s">
        <v>6</v>
      </c>
      <c r="C35" s="5" t="s">
        <v>20</v>
      </c>
    </row>
    <row r="36" spans="1:4" ht="14" x14ac:dyDescent="0.15">
      <c r="A36"/>
      <c r="C36" s="5" t="s">
        <v>67</v>
      </c>
    </row>
    <row r="37" spans="1:4" ht="14" x14ac:dyDescent="0.15">
      <c r="C37" s="5" t="s">
        <v>68</v>
      </c>
    </row>
    <row r="38" spans="1:4" ht="14" x14ac:dyDescent="0.15">
      <c r="C38" s="5" t="s">
        <v>69</v>
      </c>
    </row>
    <row r="40" spans="1:4" ht="28" x14ac:dyDescent="0.15">
      <c r="A40" s="5" t="s">
        <v>70</v>
      </c>
    </row>
  </sheetData>
  <dataValidations count="2">
    <dataValidation type="list" operator="equal" allowBlank="1" showErrorMessage="1" sqref="D11:D12" xr:uid="{00000000-0002-0000-0100-000000000000}">
      <formula1>$B$9:$B$10</formula1>
      <formula2>0</formula2>
    </dataValidation>
    <dataValidation type="list" operator="equal" allowBlank="1" showErrorMessage="1" sqref="E1:E9 E11:E1040" xr:uid="{00000000-0002-0000-0100-000001000000}">
      <formula1>$C$25:$C$34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"/>
  <sheetViews>
    <sheetView zoomScaleNormal="100" workbookViewId="0"/>
  </sheetViews>
  <sheetFormatPr baseColWidth="10" defaultColWidth="11.83203125" defaultRowHeight="13" x14ac:dyDescent="0.15"/>
  <sheetData>
    <row r="1" spans="1:8" x14ac:dyDescent="0.15">
      <c r="A1" t="s">
        <v>71</v>
      </c>
    </row>
    <row r="2" spans="1:8" x14ac:dyDescent="0.15">
      <c r="A2" t="s">
        <v>72</v>
      </c>
      <c r="B2" t="s">
        <v>73</v>
      </c>
      <c r="C2" t="s">
        <v>74</v>
      </c>
      <c r="D2" t="s">
        <v>75</v>
      </c>
      <c r="E2" t="s">
        <v>76</v>
      </c>
      <c r="F2" t="s">
        <v>77</v>
      </c>
      <c r="G2" t="s">
        <v>16</v>
      </c>
      <c r="H2" t="s">
        <v>23</v>
      </c>
    </row>
    <row r="3" spans="1:8" x14ac:dyDescent="0.15">
      <c r="A3" t="s">
        <v>78</v>
      </c>
      <c r="B3" t="s">
        <v>79</v>
      </c>
      <c r="C3" t="s">
        <v>80</v>
      </c>
      <c r="D3" t="s">
        <v>81</v>
      </c>
      <c r="E3" t="s">
        <v>82</v>
      </c>
      <c r="F3" t="s">
        <v>83</v>
      </c>
      <c r="G3" t="s">
        <v>84</v>
      </c>
      <c r="H3" t="s">
        <v>85</v>
      </c>
    </row>
    <row r="4" spans="1:8" x14ac:dyDescent="0.15">
      <c r="A4" t="s">
        <v>86</v>
      </c>
      <c r="B4" t="s">
        <v>87</v>
      </c>
      <c r="C4" t="s">
        <v>88</v>
      </c>
      <c r="D4" t="s">
        <v>89</v>
      </c>
      <c r="E4" t="s">
        <v>90</v>
      </c>
      <c r="F4" t="s">
        <v>91</v>
      </c>
      <c r="G4" t="s">
        <v>92</v>
      </c>
      <c r="H4" t="s">
        <v>93</v>
      </c>
    </row>
    <row r="5" spans="1:8" x14ac:dyDescent="0.15">
      <c r="A5" t="s">
        <v>94</v>
      </c>
      <c r="B5" t="s">
        <v>95</v>
      </c>
      <c r="C5" t="s">
        <v>96</v>
      </c>
      <c r="D5" t="s">
        <v>97</v>
      </c>
      <c r="E5" t="s">
        <v>98</v>
      </c>
      <c r="F5" t="s">
        <v>99</v>
      </c>
      <c r="G5" t="s">
        <v>100</v>
      </c>
      <c r="H5" t="s">
        <v>101</v>
      </c>
    </row>
    <row r="6" spans="1:8" x14ac:dyDescent="0.15">
      <c r="A6" t="s">
        <v>102</v>
      </c>
      <c r="B6" t="s">
        <v>103</v>
      </c>
      <c r="C6" t="s">
        <v>104</v>
      </c>
      <c r="D6" t="s">
        <v>105</v>
      </c>
      <c r="E6" t="s">
        <v>106</v>
      </c>
      <c r="F6" t="s">
        <v>107</v>
      </c>
      <c r="G6" t="s">
        <v>108</v>
      </c>
      <c r="H6" t="s">
        <v>109</v>
      </c>
    </row>
    <row r="7" spans="1:8" x14ac:dyDescent="0.15">
      <c r="A7" t="s">
        <v>110</v>
      </c>
      <c r="B7" t="s">
        <v>111</v>
      </c>
      <c r="C7" t="s">
        <v>112</v>
      </c>
      <c r="D7" t="s">
        <v>113</v>
      </c>
      <c r="E7" t="s">
        <v>114</v>
      </c>
      <c r="F7" t="s">
        <v>115</v>
      </c>
      <c r="G7" t="s">
        <v>116</v>
      </c>
      <c r="H7" t="s">
        <v>117</v>
      </c>
    </row>
    <row r="8" spans="1:8" x14ac:dyDescent="0.15">
      <c r="A8" t="s">
        <v>118</v>
      </c>
      <c r="B8" t="s">
        <v>119</v>
      </c>
      <c r="C8" t="s">
        <v>120</v>
      </c>
      <c r="D8" t="s">
        <v>121</v>
      </c>
      <c r="E8" t="s">
        <v>122</v>
      </c>
      <c r="F8" t="s">
        <v>123</v>
      </c>
      <c r="G8" t="s">
        <v>124</v>
      </c>
      <c r="H8" t="s">
        <v>125</v>
      </c>
    </row>
    <row r="9" spans="1:8" x14ac:dyDescent="0.15">
      <c r="A9" t="s">
        <v>126</v>
      </c>
      <c r="B9" t="s">
        <v>127</v>
      </c>
      <c r="C9" t="s">
        <v>128</v>
      </c>
      <c r="D9" t="s">
        <v>129</v>
      </c>
      <c r="E9" t="s">
        <v>130</v>
      </c>
      <c r="F9" t="s">
        <v>131</v>
      </c>
      <c r="G9" t="s">
        <v>132</v>
      </c>
      <c r="H9" t="s">
        <v>133</v>
      </c>
    </row>
    <row r="10" spans="1:8" x14ac:dyDescent="0.15">
      <c r="A10" t="s">
        <v>134</v>
      </c>
      <c r="B10" t="s">
        <v>135</v>
      </c>
      <c r="C10" t="s">
        <v>136</v>
      </c>
      <c r="D10" t="s">
        <v>137</v>
      </c>
      <c r="E10" t="s">
        <v>138</v>
      </c>
      <c r="F10" t="s">
        <v>139</v>
      </c>
      <c r="G10" t="s">
        <v>140</v>
      </c>
      <c r="H10" t="s">
        <v>141</v>
      </c>
    </row>
    <row r="11" spans="1:8" x14ac:dyDescent="0.15">
      <c r="A11" t="s">
        <v>142</v>
      </c>
      <c r="B11" t="s">
        <v>143</v>
      </c>
      <c r="C11" t="s">
        <v>144</v>
      </c>
      <c r="D11" t="s">
        <v>145</v>
      </c>
      <c r="E11" t="s">
        <v>146</v>
      </c>
      <c r="F11" t="s">
        <v>147</v>
      </c>
      <c r="G11" t="s">
        <v>148</v>
      </c>
      <c r="H11" t="s">
        <v>149</v>
      </c>
    </row>
    <row r="12" spans="1:8" x14ac:dyDescent="0.15">
      <c r="A12" t="s">
        <v>150</v>
      </c>
      <c r="B12" t="s">
        <v>151</v>
      </c>
      <c r="C12" t="s">
        <v>152</v>
      </c>
      <c r="D12" t="s">
        <v>153</v>
      </c>
      <c r="E12" t="s">
        <v>154</v>
      </c>
      <c r="F12" t="s">
        <v>155</v>
      </c>
      <c r="G12" t="s">
        <v>156</v>
      </c>
      <c r="H12" t="s">
        <v>157</v>
      </c>
    </row>
    <row r="13" spans="1:8" x14ac:dyDescent="0.15">
      <c r="A13" t="s">
        <v>158</v>
      </c>
      <c r="B13" t="s">
        <v>159</v>
      </c>
      <c r="C13" t="s">
        <v>160</v>
      </c>
      <c r="D13" t="s">
        <v>161</v>
      </c>
      <c r="E13" t="s">
        <v>162</v>
      </c>
      <c r="F13" t="s">
        <v>163</v>
      </c>
      <c r="G13" t="s">
        <v>164</v>
      </c>
      <c r="H13" t="s">
        <v>165</v>
      </c>
    </row>
    <row r="15" spans="1:8" x14ac:dyDescent="0.15">
      <c r="A15" t="s">
        <v>166</v>
      </c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3831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Samples</vt:lpstr>
      <vt:lpstr>Info</vt:lpstr>
      <vt:lpstr>Agilent_Tray_format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Byrnes, James</cp:lastModifiedBy>
  <cp:revision>71</cp:revision>
  <dcterms:created xsi:type="dcterms:W3CDTF">2023-09-26T17:23:52Z</dcterms:created>
  <dcterms:modified xsi:type="dcterms:W3CDTF">2025-01-24T16:14:47Z</dcterms:modified>
  <dc:language>en-US</dc:language>
</cp:coreProperties>
</file>