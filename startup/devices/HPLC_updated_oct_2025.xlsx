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byrnes/Downloads/"/>
    </mc:Choice>
  </mc:AlternateContent>
  <xr:revisionPtr revIDLastSave="0" documentId="8_{04E93C07-BFFF-1C4C-820E-6CF8D6F63F7D}" xr6:coauthVersionLast="47" xr6:coauthVersionMax="47" xr10:uidLastSave="{00000000-0000-0000-0000-000000000000}"/>
  <bookViews>
    <workbookView xWindow="0" yWindow="760" windowWidth="26980" windowHeight="17520" tabRatio="500" xr2:uid="{00000000-000D-0000-FFFF-FFFF00000000}"/>
  </bookViews>
  <sheets>
    <sheet name="Samples" sheetId="1" r:id="rId1"/>
    <sheet name="Info" sheetId="2" r:id="rId2"/>
    <sheet name="Agilent_Tray_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R7" i="1" l="1"/>
  <c r="Q7" i="1"/>
  <c r="O7" i="1"/>
  <c r="N7" i="1"/>
  <c r="M7" i="1"/>
  <c r="L7" i="1"/>
  <c r="K7" i="1"/>
  <c r="R6" i="1"/>
  <c r="Q6" i="1"/>
  <c r="O6" i="1"/>
  <c r="N6" i="1"/>
  <c r="M6" i="1"/>
  <c r="L6" i="1"/>
  <c r="K6" i="1"/>
  <c r="R5" i="1"/>
  <c r="Q5" i="1"/>
  <c r="O5" i="1"/>
  <c r="N5" i="1"/>
  <c r="M5" i="1"/>
  <c r="L5" i="1"/>
  <c r="K5" i="1"/>
  <c r="R4" i="1"/>
  <c r="Q4" i="1"/>
  <c r="O4" i="1"/>
  <c r="N4" i="1"/>
  <c r="M4" i="1"/>
  <c r="L4" i="1"/>
  <c r="K4" i="1"/>
  <c r="R3" i="1"/>
  <c r="Q3" i="1"/>
  <c r="O3" i="1"/>
  <c r="N3" i="1"/>
  <c r="M3" i="1"/>
  <c r="L3" i="1"/>
  <c r="K3" i="1"/>
  <c r="R2" i="1"/>
  <c r="Q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<sst xmlns="http://schemas.openxmlformats.org/spreadsheetml/2006/main" count="330" uniqueCount="192">
  <si>
    <t>batchID</t>
  </si>
  <si>
    <t>Vial</t>
  </si>
  <si>
    <t>Sample Name</t>
  </si>
  <si>
    <t>Volume</t>
  </si>
  <si>
    <t>Buffer</t>
  </si>
  <si>
    <t>Acq. method</t>
  </si>
  <si>
    <t>Sample Type</t>
  </si>
  <si>
    <t>Run Time</t>
  </si>
  <si>
    <t>Flow Rate</t>
  </si>
  <si>
    <t>Column type</t>
  </si>
  <si>
    <t>Proc. method</t>
  </si>
  <si>
    <t>Injection source</t>
  </si>
  <si>
    <t>Data file</t>
  </si>
  <si>
    <t>Inj/Vial</t>
  </si>
  <si>
    <t>Valve Position</t>
  </si>
  <si>
    <t>a3</t>
  </si>
  <si>
    <t>D1F-C03</t>
  </si>
  <si>
    <t>BSA_30mg_20ul</t>
  </si>
  <si>
    <t>PBS</t>
  </si>
  <si>
    <t>test.amx</t>
  </si>
  <si>
    <t>Sample</t>
  </si>
  <si>
    <t>a</t>
  </si>
  <si>
    <t>a4</t>
  </si>
  <si>
    <t>BSA_30mg_20ul_B</t>
  </si>
  <si>
    <t>a5</t>
  </si>
  <si>
    <t>BSA_30mg_50ul</t>
  </si>
  <si>
    <t>Water</t>
  </si>
  <si>
    <t>a6</t>
  </si>
  <si>
    <t>BSA_30mg_50ul_test_result</t>
  </si>
  <si>
    <t>a7</t>
  </si>
  <si>
    <t>D1F-A04</t>
  </si>
  <si>
    <t>BSA_6mg_sept_18</t>
  </si>
  <si>
    <t>Hepes pH8 150mM Nacl 5%glycerol 1mM TCEP</t>
  </si>
  <si>
    <t>superose6_5_150_channel_A.amx</t>
  </si>
  <si>
    <t>Instructions:</t>
  </si>
  <si>
    <t>1. Do not change the header line in the Samples sheet.</t>
  </si>
  <si>
    <t>2. Do not change this sheet other than the method listing below.</t>
  </si>
  <si>
    <t>2. List only valid method files (starting on row 10), and fill in the correct parameters for the method.</t>
  </si>
  <si>
    <t>valid Vial Names</t>
  </si>
  <si>
    <t>DF1-***</t>
  </si>
  <si>
    <t>valid methods</t>
  </si>
  <si>
    <t>#</t>
  </si>
  <si>
    <t>ColumnID</t>
  </si>
  <si>
    <t>Column Type</t>
  </si>
  <si>
    <t>Flow Rate A</t>
  </si>
  <si>
    <t>should be column_type, flowrate, time(min)</t>
  </si>
  <si>
    <t>Injection_5.amx</t>
  </si>
  <si>
    <t>GE Superdex Increase 200 5/150 GL</t>
  </si>
  <si>
    <t>processing_test_AIA.pmx</t>
  </si>
  <si>
    <t>HipAls</t>
  </si>
  <si>
    <t>A</t>
  </si>
  <si>
    <t>superdex_200_5_150_old.amx</t>
  </si>
  <si>
    <t>CSV_ADF_export.pmx</t>
  </si>
  <si>
    <t>dSEC2B.amx</t>
  </si>
  <si>
    <t>dSEC2</t>
  </si>
  <si>
    <t>B</t>
  </si>
  <si>
    <t>superdex_5_150_channel_B.amx</t>
  </si>
  <si>
    <t>noUV_lamp.amx</t>
  </si>
  <si>
    <t>None</t>
  </si>
  <si>
    <t>check</t>
  </si>
  <si>
    <t>superdex_5_150.amx</t>
  </si>
  <si>
    <t>dSEC2_035_25min.amx</t>
  </si>
  <si>
    <t>Sepharose4B.amx</t>
  </si>
  <si>
    <t>Sepharose4B</t>
  </si>
  <si>
    <t>no_column</t>
  </si>
  <si>
    <t>superdex_10_300_channel_C.amx</t>
  </si>
  <si>
    <t>GE Superdex Increase 200 10/300 GL</t>
  </si>
  <si>
    <t>superdex_200_3.2_300.amx</t>
  </si>
  <si>
    <t>Superdex 200 Increase 3.2 300</t>
  </si>
  <si>
    <t>superdex_5_150_channel_C.amx</t>
  </si>
  <si>
    <t>superdex_10_300_channel_B.amx</t>
  </si>
  <si>
    <t>dsec7_optimize.amx</t>
  </si>
  <si>
    <t>dSEC7</t>
  </si>
  <si>
    <t>Tosh_Kushol.amx</t>
  </si>
  <si>
    <t>Tosch</t>
  </si>
  <si>
    <t>agilent_bio_sec5.amx</t>
  </si>
  <si>
    <t>dsec5</t>
  </si>
  <si>
    <t>tosch_omar.amx</t>
  </si>
  <si>
    <t>Superose6_5_150</t>
  </si>
  <si>
    <t>superdex75_5_150_channel_A.amx</t>
  </si>
  <si>
    <t>GE Superdex Increase 75 5/150 GL</t>
  </si>
  <si>
    <t>valid column type</t>
  </si>
  <si>
    <t>GE Superdex Increase 75 10/300 GL</t>
  </si>
  <si>
    <t>Blank</t>
  </si>
  <si>
    <t>Cal. Std.</t>
  </si>
  <si>
    <t>Sys Suit</t>
  </si>
  <si>
    <t>Other valid name of columns</t>
  </si>
  <si>
    <t>96-well Format</t>
  </si>
  <si>
    <t>D1F-A01</t>
  </si>
  <si>
    <t>D1F-B01</t>
  </si>
  <si>
    <t>D1F-C01</t>
  </si>
  <si>
    <t>D1F-D01</t>
  </si>
  <si>
    <t>D1F-E01</t>
  </si>
  <si>
    <t>D1F-F01</t>
  </si>
  <si>
    <t>D1F-G01</t>
  </si>
  <si>
    <t>D1F-H01</t>
  </si>
  <si>
    <t>D1F-A02</t>
  </si>
  <si>
    <t>D1F-B02</t>
  </si>
  <si>
    <t>D1F-C02</t>
  </si>
  <si>
    <t>D1F-D02</t>
  </si>
  <si>
    <t>D1F-E02</t>
  </si>
  <si>
    <t>D1F-F02</t>
  </si>
  <si>
    <t>D1F-G02</t>
  </si>
  <si>
    <t>D1F-H02</t>
  </si>
  <si>
    <t>D1F-A03</t>
  </si>
  <si>
    <t>D1F-B03</t>
  </si>
  <si>
    <t>D1F-D03</t>
  </si>
  <si>
    <t>D1F-E03</t>
  </si>
  <si>
    <t>D1F-F03</t>
  </si>
  <si>
    <t>D1F-G03</t>
  </si>
  <si>
    <t>D1F-H03</t>
  </si>
  <si>
    <t>D1F-B04</t>
  </si>
  <si>
    <t>D1F-C04</t>
  </si>
  <si>
    <t>D1F-D04</t>
  </si>
  <si>
    <t>D1F-E04</t>
  </si>
  <si>
    <t>D1F-F04</t>
  </si>
  <si>
    <t>D1F-G04</t>
  </si>
  <si>
    <t>D1F-H04</t>
  </si>
  <si>
    <t>D1F-A05</t>
  </si>
  <si>
    <t>D1F-B05</t>
  </si>
  <si>
    <t>D1F-C05</t>
  </si>
  <si>
    <t>D1F-D05</t>
  </si>
  <si>
    <t>D1F-E05</t>
  </si>
  <si>
    <t>D1F-F05</t>
  </si>
  <si>
    <t>D1F-G05</t>
  </si>
  <si>
    <t>D1F-H05</t>
  </si>
  <si>
    <t>D1F-A06</t>
  </si>
  <si>
    <t>D1F-B06</t>
  </si>
  <si>
    <t>D1F-C06</t>
  </si>
  <si>
    <t>D1F-D06</t>
  </si>
  <si>
    <t>D1F-E06</t>
  </si>
  <si>
    <t>D1F-F06</t>
  </si>
  <si>
    <t>D1F-G06</t>
  </si>
  <si>
    <t>D1F-H06</t>
  </si>
  <si>
    <t>D1F-A07</t>
  </si>
  <si>
    <t>D1F-B07</t>
  </si>
  <si>
    <t>D1F-C07</t>
  </si>
  <si>
    <t>D1F-D07</t>
  </si>
  <si>
    <t>D1F-E07</t>
  </si>
  <si>
    <t>D1F-F07</t>
  </si>
  <si>
    <t>D1F-G07</t>
  </si>
  <si>
    <t>D1F-H07</t>
  </si>
  <si>
    <t>D1F-A08</t>
  </si>
  <si>
    <t>D1F-B08</t>
  </si>
  <si>
    <t>D1F-C08</t>
  </si>
  <si>
    <t>D1F-D08</t>
  </si>
  <si>
    <t>D1F-E08</t>
  </si>
  <si>
    <t>D1F-F08</t>
  </si>
  <si>
    <t>D1F-G08</t>
  </si>
  <si>
    <t>D1F-H08</t>
  </si>
  <si>
    <t>D1F-A09</t>
  </si>
  <si>
    <t>D1F-B09</t>
  </si>
  <si>
    <t>D1F-C09</t>
  </si>
  <si>
    <t>D1F-D09</t>
  </si>
  <si>
    <t>D1F-E09</t>
  </si>
  <si>
    <t>D1F-F09</t>
  </si>
  <si>
    <t>D1F-G09</t>
  </si>
  <si>
    <t>D1F-H09</t>
  </si>
  <si>
    <t>D1F-A10</t>
  </si>
  <si>
    <t>D1F-B10</t>
  </si>
  <si>
    <t>D1F-C10</t>
  </si>
  <si>
    <t>D1F-D10</t>
  </si>
  <si>
    <t>D1F-E10</t>
  </si>
  <si>
    <t>D1F-F10</t>
  </si>
  <si>
    <t>D1F-G10</t>
  </si>
  <si>
    <t>D1F-H10</t>
  </si>
  <si>
    <t>D1F-A11</t>
  </si>
  <si>
    <t>D1F-B11</t>
  </si>
  <si>
    <t>D1F-C11</t>
  </si>
  <si>
    <t>D1F-D11</t>
  </si>
  <si>
    <t>D1F-E11</t>
  </si>
  <si>
    <t>D1F-F11</t>
  </si>
  <si>
    <t>D1F-G11</t>
  </si>
  <si>
    <t>D1F-H11</t>
  </si>
  <si>
    <t>D1F-A12</t>
  </si>
  <si>
    <t>D1F-B12</t>
  </si>
  <si>
    <t>D1F-C12</t>
  </si>
  <si>
    <t>D1F-D12</t>
  </si>
  <si>
    <t>D1F-E12</t>
  </si>
  <si>
    <t>D1F-F12</t>
  </si>
  <si>
    <t>D1F-G12</t>
  </si>
  <si>
    <t>D1F-H12</t>
  </si>
  <si>
    <t>Vial Format</t>
  </si>
  <si>
    <t>Exp_Type</t>
  </si>
  <si>
    <t>X-ray_only</t>
  </si>
  <si>
    <t>X-ray_Regen</t>
  </si>
  <si>
    <t>X-ray_UV</t>
  </si>
  <si>
    <t>X-ray_UV_MALS_RID</t>
  </si>
  <si>
    <t>buffer_position</t>
  </si>
  <si>
    <t>Slot</t>
  </si>
  <si>
    <t>col_pos1</t>
  </si>
  <si>
    <t>col_pos2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</si>
</sst>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2"/>
      <color rgb="FF999999"/>
      <name val="Calibri"/>
      <family val="2"/>
      <charset val="1"/>
    </font>
    <font>
      <sz val="12"/>
      <color rgb="FFCCCCCC"/>
      <name val="Calibri"/>
      <family val="2"/>
      <charset val="1"/>
    </font>
    <font>
      <sz val="12"/>
      <color rgb="FFB2B2B2"/>
      <name val="Calibri"/>
      <family val="2"/>
      <charset val="1"/>
    </font>
    <font>
      <sz val="12"/>
      <color rgb="FFAFABAB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5" fillId="0" borderId="3" xfId="0" applyFont="1" applyBorder="1" applyAlignment="1">
      <alignment wrapText="1"/>
    </xf>
    <xf numFmtId="0" fontId="0" fillId="0" borderId="2" xfId="0" applyBorder="1"/>
    <xf numFmtId="0" fontId="5" fillId="0" borderId="4" xfId="0" applyFont="1" applyBorder="1"/>
    <xf numFmtId="0" fontId="0" fillId="0" borderId="5" xfId="0" applyBorder="1"/>
    <xf numFmtId="0" fontId="5" fillId="0" borderId="6" xfId="0" applyFont="1" applyBorder="1"/>
    <xf numFmtId="0" fontId="0" fillId="0" borderId="7" xfId="0" applyBorder="1"/>
    <xf numFmtId="0" fontId="5" fillId="0" borderId="6" xfId="0" applyFont="1" applyBorder="1" applyAlignment="1">
      <alignment wrapText="1"/>
    </xf>
    <xf numFmtId="0" fontId="0" fillId="0" borderId="6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FABA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2B2B2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zoomScaleNormal="100" workbookViewId="0">
      <selection activeCell="G7" sqref="G7"/>
    </sheetView>
  </sheetViews>
  <sheetFormatPr baseColWidth="10" defaultColWidth="12.1640625" defaultRowHeight="13" x14ac:dyDescent="0.15"/>
  <cols>
    <col min="5" max="5" width="26.6640625" customWidth="1"/>
    <col min="9" max="9" width="43.1640625" customWidth="1"/>
  </cols>
  <sheetData>
    <row r="1" spans="1:18" ht="16" x14ac:dyDescent="0.2">
      <c r="A1" t="s">
        <v>0</v>
      </c>
      <c r="B1" t="s">
        <v>183</v>
      </c>
      <c r="C1" t="s">
        <v>188</v>
      </c>
      <c r="D1" t="s">
        <v>1</v>
      </c>
      <c r="E1" t="s">
        <v>2</v>
      </c>
      <c r="F1" t="s">
        <v>3</v>
      </c>
      <c r="G1" t="s">
        <v>189</v>
      </c>
      <c r="H1" t="s">
        <v>4</v>
      </c>
      <c r="I1" t="s">
        <v>5</v>
      </c>
      <c r="J1" s="1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3" t="s">
        <v>13</v>
      </c>
      <c r="R1" t="s">
        <v>14</v>
      </c>
    </row>
    <row r="2" spans="1:18" ht="16" x14ac:dyDescent="0.2">
      <c r="A2" t="s">
        <v>15</v>
      </c>
      <c r="B2" t="s">
        <v>184</v>
      </c>
      <c r="C2">
        <v>1</v>
      </c>
      <c r="D2" t="s">
        <v>16</v>
      </c>
      <c r="E2" t="s">
        <v>17</v>
      </c>
      <c r="F2">
        <v>20</v>
      </c>
      <c r="G2" t="s">
        <v>190</v>
      </c>
      <c r="H2" t="s">
        <v>18</v>
      </c>
      <c r="I2" t="s">
        <v>19</v>
      </c>
      <c r="J2" s="1" t="s">
        <v>20</v>
      </c>
      <c r="K2" s="2">
        <f>VLOOKUP($I2,Info!$C$11:$H$32,4,0)</f>
        <v>4</v>
      </c>
      <c r="L2" s="2">
        <f>VLOOKUP($I2,Info!$C$11:$H$32,5,0)</f>
        <v>0.3</v>
      </c>
      <c r="M2" s="4" t="str">
        <f>VLOOKUP($I2,Info!$C$11:$H$32,3,0)</f>
        <v>no_column</v>
      </c>
      <c r="N2" s="4" t="str">
        <f>VLOOKUP($I2,Info!$C$11:$H$32,6,0)</f>
        <v>CSV_ADF_export.pmx</v>
      </c>
      <c r="O2" s="4" t="str">
        <f>VLOOKUP($I2,Info!$C$11:$J$32,7,0)</f>
        <v>HipAls</v>
      </c>
      <c r="P2" s="2" t="s">
        <v>21</v>
      </c>
      <c r="Q2" s="3">
        <f>VLOOKUP($I2,Info!$C$11:$K$32,9,0)</f>
        <v>1</v>
      </c>
      <c r="R2" s="3" t="str">
        <f>VLOOKUP($I2,Info!$C$11:$L$33, 10,0)</f>
        <v>A</v>
      </c>
    </row>
    <row r="3" spans="1:18" ht="16" x14ac:dyDescent="0.2">
      <c r="A3" t="s">
        <v>22</v>
      </c>
      <c r="B3" t="s">
        <v>184</v>
      </c>
      <c r="C3">
        <v>1</v>
      </c>
      <c r="D3" t="s">
        <v>16</v>
      </c>
      <c r="E3" t="s">
        <v>23</v>
      </c>
      <c r="F3">
        <v>20</v>
      </c>
      <c r="G3" t="s">
        <v>190</v>
      </c>
      <c r="H3" t="s">
        <v>18</v>
      </c>
      <c r="I3" t="s">
        <v>19</v>
      </c>
      <c r="J3" s="1" t="s">
        <v>20</v>
      </c>
      <c r="K3" s="2">
        <f>VLOOKUP($I3,Info!$C$11:$H$32,4,0)</f>
        <v>4</v>
      </c>
      <c r="L3" s="2">
        <f>VLOOKUP($I3,Info!$C$11:$H$32,5,0)</f>
        <v>0.3</v>
      </c>
      <c r="M3" s="4" t="str">
        <f>VLOOKUP($I3,Info!$C$11:$H$32,3,0)</f>
        <v>no_column</v>
      </c>
      <c r="N3" s="4" t="str">
        <f>VLOOKUP($I3,Info!$C$11:$H$32,6,0)</f>
        <v>CSV_ADF_export.pmx</v>
      </c>
      <c r="O3" s="4" t="str">
        <f>VLOOKUP($I3,Info!$C$11:$J$32,7,0)</f>
        <v>HipAls</v>
      </c>
      <c r="P3" s="2" t="s">
        <v>21</v>
      </c>
      <c r="Q3" s="3">
        <f>VLOOKUP($I3,Info!$C$11:$K$32,9,0)</f>
        <v>1</v>
      </c>
      <c r="R3" s="3" t="str">
        <f>VLOOKUP($I3,Info!$C$11:$L$33, 10,0)</f>
        <v>A</v>
      </c>
    </row>
    <row r="4" spans="1:18" ht="16" x14ac:dyDescent="0.2">
      <c r="A4" t="s">
        <v>24</v>
      </c>
      <c r="B4" t="s">
        <v>184</v>
      </c>
      <c r="C4">
        <v>1</v>
      </c>
      <c r="D4" t="s">
        <v>16</v>
      </c>
      <c r="E4" t="s">
        <v>25</v>
      </c>
      <c r="F4">
        <v>50</v>
      </c>
      <c r="G4" t="s">
        <v>191</v>
      </c>
      <c r="H4" t="s">
        <v>26</v>
      </c>
      <c r="I4" t="s">
        <v>19</v>
      </c>
      <c r="J4" s="1" t="s">
        <v>20</v>
      </c>
      <c r="K4" s="2">
        <f>VLOOKUP($I4,Info!$C$11:$H$32,4,0)</f>
        <v>4</v>
      </c>
      <c r="L4" s="2">
        <f>VLOOKUP($I4,Info!$C$11:$H$32,5,0)</f>
        <v>0.3</v>
      </c>
      <c r="M4" s="4" t="str">
        <f>VLOOKUP($I4,Info!$C$11:$H$32,3,0)</f>
        <v>no_column</v>
      </c>
      <c r="N4" s="4" t="str">
        <f>VLOOKUP($I4,Info!$C$11:$H$32,6,0)</f>
        <v>CSV_ADF_export.pmx</v>
      </c>
      <c r="O4" s="4" t="str">
        <f>VLOOKUP($I4,Info!$C$11:$J$32,7,0)</f>
        <v>HipAls</v>
      </c>
      <c r="P4" s="2" t="s">
        <v>21</v>
      </c>
      <c r="Q4" s="3">
        <f>VLOOKUP($I4,Info!$C$11:$K$32,9,0)</f>
        <v>1</v>
      </c>
      <c r="R4" s="3" t="str">
        <f>VLOOKUP($I4,Info!$C$11:$L$33, 10,0)</f>
        <v>A</v>
      </c>
    </row>
    <row r="5" spans="1:18" ht="16" x14ac:dyDescent="0.2">
      <c r="A5" t="s">
        <v>27</v>
      </c>
      <c r="B5" t="s">
        <v>184</v>
      </c>
      <c r="C5">
        <v>1</v>
      </c>
      <c r="D5" t="s">
        <v>16</v>
      </c>
      <c r="E5" t="s">
        <v>28</v>
      </c>
      <c r="F5">
        <v>1</v>
      </c>
      <c r="G5" t="s">
        <v>190</v>
      </c>
      <c r="H5" t="s">
        <v>26</v>
      </c>
      <c r="I5" t="s">
        <v>19</v>
      </c>
      <c r="J5" s="1" t="s">
        <v>20</v>
      </c>
      <c r="K5" s="2">
        <f>VLOOKUP($I5,Info!$C$11:$H$32,4,0)</f>
        <v>4</v>
      </c>
      <c r="L5" s="2">
        <f>VLOOKUP($I5,Info!$C$11:$H$32,5,0)</f>
        <v>0.3</v>
      </c>
      <c r="M5" s="4" t="str">
        <f>VLOOKUP($I5,Info!$C$11:$H$32,3,0)</f>
        <v>no_column</v>
      </c>
      <c r="N5" s="4" t="str">
        <f>VLOOKUP($I5,Info!$C$11:$H$32,6,0)</f>
        <v>CSV_ADF_export.pmx</v>
      </c>
      <c r="O5" s="4" t="str">
        <f>VLOOKUP($I5,Info!$C$11:$J$32,7,0)</f>
        <v>HipAls</v>
      </c>
      <c r="P5" s="2" t="s">
        <v>21</v>
      </c>
      <c r="Q5" s="3">
        <f>VLOOKUP($I5,Info!$C$11:$K$32,9,0)</f>
        <v>1</v>
      </c>
      <c r="R5" s="3" t="str">
        <f>VLOOKUP($I5,Info!$C$11:$L$33, 10,0)</f>
        <v>A</v>
      </c>
    </row>
    <row r="6" spans="1:18" ht="16" x14ac:dyDescent="0.2">
      <c r="A6" t="s">
        <v>27</v>
      </c>
      <c r="B6" t="s">
        <v>185</v>
      </c>
      <c r="C6">
        <v>1</v>
      </c>
      <c r="D6" t="s">
        <v>16</v>
      </c>
      <c r="E6" t="s">
        <v>28</v>
      </c>
      <c r="F6">
        <v>1</v>
      </c>
      <c r="G6" t="s">
        <v>191</v>
      </c>
      <c r="H6" t="s">
        <v>26</v>
      </c>
      <c r="I6" t="s">
        <v>19</v>
      </c>
      <c r="J6" s="1" t="s">
        <v>20</v>
      </c>
      <c r="K6" s="2">
        <f>VLOOKUP($I6,Info!$C$11:$H$32,4,0)</f>
        <v>4</v>
      </c>
      <c r="L6" s="2">
        <f>VLOOKUP($I6,Info!$C$11:$H$32,5,0)</f>
        <v>0.3</v>
      </c>
      <c r="M6" s="4" t="str">
        <f>VLOOKUP($I6,Info!$C$11:$H$32,3,0)</f>
        <v>no_column</v>
      </c>
      <c r="N6" s="4" t="str">
        <f>VLOOKUP($I6,Info!$C$11:$H$32,6,0)</f>
        <v>CSV_ADF_export.pmx</v>
      </c>
      <c r="O6" s="4" t="str">
        <f>VLOOKUP($I6,Info!$C$11:$J$32,7,0)</f>
        <v>HipAls</v>
      </c>
      <c r="P6" s="2" t="s">
        <v>21</v>
      </c>
      <c r="Q6" s="3">
        <f>VLOOKUP($I6,Info!$C$11:$K$32,9,0)</f>
        <v>1</v>
      </c>
      <c r="R6" s="3" t="str">
        <f>VLOOKUP($I6,Info!$C$11:$L$33, 10,0)</f>
        <v>A</v>
      </c>
    </row>
    <row r="7" spans="1:18" ht="16" x14ac:dyDescent="0.2">
      <c r="A7" t="s">
        <v>29</v>
      </c>
      <c r="B7" t="s">
        <v>186</v>
      </c>
      <c r="C7">
        <v>2</v>
      </c>
      <c r="D7" t="s">
        <v>30</v>
      </c>
      <c r="E7" t="s">
        <v>31</v>
      </c>
      <c r="F7">
        <v>50</v>
      </c>
      <c r="G7" t="s">
        <v>191</v>
      </c>
      <c r="H7" t="s">
        <v>32</v>
      </c>
      <c r="I7" t="s">
        <v>33</v>
      </c>
      <c r="J7" s="1" t="s">
        <v>20</v>
      </c>
      <c r="K7" s="2">
        <f>VLOOKUP($I7,Info!$C$11:$H$32,4,0)</f>
        <v>15</v>
      </c>
      <c r="L7" s="2">
        <f>VLOOKUP($I7,Info!$C$11:$H$32,5,0)</f>
        <v>0.3</v>
      </c>
      <c r="M7" s="4" t="str">
        <f>VLOOKUP($I7,Info!$C$11:$H$32,3,0)</f>
        <v>Superose6_5_150</v>
      </c>
      <c r="N7" s="4" t="str">
        <f>VLOOKUP($I7,Info!$C$11:$H$32,6,0)</f>
        <v>CSV_ADF_export.pmx</v>
      </c>
      <c r="O7" s="4" t="str">
        <f>VLOOKUP($I7,Info!$C$11:$J$32,7,0)</f>
        <v>HipAls</v>
      </c>
      <c r="P7" s="2" t="s">
        <v>21</v>
      </c>
      <c r="Q7" s="3">
        <f>VLOOKUP($I7,Info!$C$11:$K$32,9,0)</f>
        <v>1</v>
      </c>
      <c r="R7" s="3" t="str">
        <f>VLOOKUP($I7,Info!$C$11:$L$33, 10,0)</f>
        <v>A</v>
      </c>
    </row>
    <row r="8" spans="1:18" ht="16" x14ac:dyDescent="0.2">
      <c r="J8" s="1"/>
      <c r="K8" s="2"/>
      <c r="L8" s="2"/>
      <c r="M8" s="4"/>
      <c r="N8" s="4"/>
      <c r="O8" s="4"/>
      <c r="P8" s="2"/>
      <c r="Q8" s="3"/>
      <c r="R8" s="3"/>
    </row>
    <row r="9" spans="1:18" ht="16" x14ac:dyDescent="0.2">
      <c r="J9" s="1"/>
      <c r="K9" s="2"/>
      <c r="L9" s="2"/>
      <c r="M9" s="4"/>
      <c r="N9" s="4"/>
      <c r="O9" s="4"/>
      <c r="P9" s="2"/>
      <c r="Q9" s="3"/>
      <c r="R9" s="3"/>
    </row>
    <row r="10" spans="1:18" ht="16" x14ac:dyDescent="0.2">
      <c r="J10" s="1"/>
      <c r="K10" s="2"/>
      <c r="L10" s="2"/>
      <c r="M10" s="4"/>
      <c r="N10" s="4"/>
      <c r="O10" s="4"/>
      <c r="P10" s="2"/>
      <c r="Q10" s="3"/>
      <c r="R10" s="3"/>
    </row>
    <row r="11" spans="1:18" ht="16" x14ac:dyDescent="0.2">
      <c r="J11" s="1"/>
      <c r="K11" s="2"/>
      <c r="L11" s="2"/>
      <c r="M11" s="4"/>
      <c r="N11" s="4"/>
      <c r="O11" s="4"/>
      <c r="P11" s="2"/>
      <c r="Q11" s="3"/>
      <c r="R11" s="3"/>
    </row>
    <row r="12" spans="1:18" ht="16" x14ac:dyDescent="0.2">
      <c r="J12" s="1"/>
      <c r="K12" s="2"/>
      <c r="L12" s="2"/>
      <c r="M12" s="4"/>
      <c r="N12" s="4"/>
      <c r="O12" s="4"/>
      <c r="P12" s="2"/>
      <c r="Q12" s="3"/>
      <c r="R12" s="3"/>
    </row>
    <row r="13" spans="1:18" ht="16" x14ac:dyDescent="0.2">
      <c r="J13" s="1"/>
      <c r="K13" s="2"/>
      <c r="L13" s="2"/>
      <c r="M13" s="4"/>
      <c r="N13" s="4"/>
      <c r="O13" s="4"/>
      <c r="P13" s="2"/>
      <c r="Q13" s="3"/>
      <c r="R13" s="3"/>
    </row>
    <row r="14" spans="1:18" ht="16" x14ac:dyDescent="0.2">
      <c r="J14" s="1"/>
      <c r="K14" s="2"/>
      <c r="L14" s="2"/>
      <c r="M14" s="4"/>
      <c r="N14" s="4"/>
      <c r="O14" s="4"/>
      <c r="P14" s="2"/>
      <c r="Q14" s="3"/>
      <c r="R14" s="3"/>
    </row>
    <row r="15" spans="1:18" ht="16" x14ac:dyDescent="0.2">
      <c r="J15" s="1"/>
      <c r="K15" s="2"/>
      <c r="L15" s="2"/>
      <c r="M15" s="4"/>
      <c r="N15" s="4"/>
      <c r="O15" s="4"/>
      <c r="P15" s="2"/>
      <c r="Q15" s="3"/>
      <c r="R15" s="3"/>
    </row>
    <row r="16" spans="1:18" ht="16" x14ac:dyDescent="0.2">
      <c r="J16" s="1"/>
      <c r="K16" s="2"/>
      <c r="L16" s="2"/>
      <c r="M16" s="4"/>
      <c r="N16" s="4"/>
      <c r="O16" s="4"/>
      <c r="P16" s="2"/>
      <c r="Q16" s="3"/>
      <c r="R16" s="3"/>
    </row>
    <row r="17" spans="10:18" ht="16" x14ac:dyDescent="0.2">
      <c r="J17" s="1"/>
      <c r="K17" s="2"/>
      <c r="L17" s="2"/>
      <c r="M17" s="4"/>
      <c r="N17" s="4"/>
      <c r="O17" s="4"/>
      <c r="P17" s="2"/>
      <c r="Q17" s="3"/>
      <c r="R17" s="3"/>
    </row>
    <row r="18" spans="10:18" ht="16" x14ac:dyDescent="0.2">
      <c r="J18" s="1"/>
      <c r="K18" s="2"/>
      <c r="L18" s="2"/>
      <c r="M18" s="4"/>
      <c r="N18" s="4"/>
      <c r="O18" s="4"/>
      <c r="P18" s="2"/>
      <c r="Q18" s="3"/>
      <c r="R18" s="3"/>
    </row>
    <row r="19" spans="10:18" ht="16" x14ac:dyDescent="0.2">
      <c r="J19" s="1"/>
      <c r="K19" s="2"/>
      <c r="L19" s="2"/>
      <c r="M19" s="4"/>
      <c r="N19" s="4"/>
      <c r="O19" s="4"/>
      <c r="P19" s="2"/>
      <c r="Q19" s="3"/>
      <c r="R19" s="3"/>
    </row>
  </sheetData>
  <dataValidations count="1">
    <dataValidation type="whole" operator="lessThan" allowBlank="1" showInputMessage="1" showErrorMessage="1" sqref="C2:C1048576" xr:uid="{F7485708-09E0-F048-AA65-1E445F4C2513}">
      <formula1>7</formula1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operator="equal" allowBlank="1" showErrorMessage="1" xr:uid="{00000000-0002-0000-0000-000000000000}">
          <x14:formula1>
            <xm:f>Agilent_Tray_format!$A$2:$H$13</xm:f>
          </x14:formula1>
          <x14:formula2>
            <xm:f>0</xm:f>
          </x14:formula2>
          <xm:sqref>D2:D19</xm:sqref>
        </x14:dataValidation>
        <x14:dataValidation type="list" operator="equal" allowBlank="1" showInputMessage="1" showErrorMessage="1" xr:uid="{00000000-0002-0000-0000-000001000000}">
          <x14:formula1>
            <xm:f>Info!$C$42:$C$45</xm:f>
          </x14:formula1>
          <x14:formula2>
            <xm:f>0</xm:f>
          </x14:formula2>
          <xm:sqref>J2:J19</xm:sqref>
        </x14:dataValidation>
        <x14:dataValidation type="list" operator="equal" allowBlank="1" showErrorMessage="1" xr:uid="{00000000-0002-0000-0000-000002000000}">
          <x14:formula1>
            <xm:f>Info!$C$11:$C$29</xm:f>
          </x14:formula1>
          <x14:formula2>
            <xm:f>0</xm:f>
          </x14:formula2>
          <xm:sqref>I2:I1007</xm:sqref>
        </x14:dataValidation>
        <x14:dataValidation type="list" allowBlank="1" showInputMessage="1" showErrorMessage="1" xr:uid="{1F1BF012-A7FA-AF40-A65F-AD488AB0E890}">
          <x14:formula1>
            <xm:f>Info!$C$50:$C$53</xm:f>
          </x14:formula1>
          <xm:sqref>B2:B1048576</xm:sqref>
        </x14:dataValidation>
        <x14:dataValidation type="list" showInputMessage="1" showErrorMessage="1" xr:uid="{E54BB876-6910-2D4D-96E8-08C38BBD19D2}">
          <x14:formula1>
            <xm:f>Info!$B$55:$B$56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topLeftCell="A25" zoomScaleNormal="100" workbookViewId="0">
      <selection activeCell="B25" sqref="B1:B1048576"/>
    </sheetView>
  </sheetViews>
  <sheetFormatPr baseColWidth="10" defaultColWidth="9.83203125" defaultRowHeight="13" x14ac:dyDescent="0.15"/>
  <cols>
    <col min="1" max="1" width="16.83203125" style="5" customWidth="1"/>
    <col min="2" max="2" width="9.5" style="5" customWidth="1"/>
    <col min="3" max="3" width="63.5" style="5" customWidth="1"/>
    <col min="4" max="4" width="9.83203125" customWidth="1"/>
    <col min="5" max="5" width="32.83203125" customWidth="1"/>
    <col min="6" max="6" width="16.5" customWidth="1"/>
    <col min="7" max="7" width="11.6640625" customWidth="1"/>
    <col min="8" max="8" width="34.1640625" customWidth="1"/>
  </cols>
  <sheetData>
    <row r="1" spans="1:12" ht="14" x14ac:dyDescent="0.15">
      <c r="A1" s="5" t="s">
        <v>34</v>
      </c>
    </row>
    <row r="2" spans="1:12" ht="19" customHeight="1" x14ac:dyDescent="0.2">
      <c r="A2" s="6" t="s">
        <v>35</v>
      </c>
      <c r="B2" s="7"/>
      <c r="C2" s="7"/>
      <c r="D2" s="7"/>
      <c r="E2" s="7"/>
    </row>
    <row r="3" spans="1:12" ht="19" customHeight="1" x14ac:dyDescent="0.2">
      <c r="A3" s="6" t="s">
        <v>36</v>
      </c>
      <c r="B3" s="7"/>
      <c r="C3" s="7"/>
      <c r="D3" s="7"/>
      <c r="E3" s="7"/>
    </row>
    <row r="4" spans="1:12" ht="84" x14ac:dyDescent="0.15">
      <c r="A4" s="5" t="s">
        <v>37</v>
      </c>
    </row>
    <row r="7" spans="1:12" ht="68" x14ac:dyDescent="0.2">
      <c r="A7" s="5" t="s">
        <v>38</v>
      </c>
      <c r="B7" s="8" t="s">
        <v>39</v>
      </c>
    </row>
    <row r="8" spans="1:12" x14ac:dyDescent="0.15">
      <c r="B8" s="9">
        <v>1</v>
      </c>
    </row>
    <row r="10" spans="1:12" ht="16" x14ac:dyDescent="0.2">
      <c r="A10" s="5" t="s">
        <v>40</v>
      </c>
      <c r="B10" s="6" t="s">
        <v>41</v>
      </c>
      <c r="C10" s="6" t="s">
        <v>5</v>
      </c>
      <c r="D10" t="s">
        <v>42</v>
      </c>
      <c r="E10" t="s">
        <v>43</v>
      </c>
      <c r="F10" t="s">
        <v>7</v>
      </c>
      <c r="G10" t="s">
        <v>44</v>
      </c>
      <c r="H10" t="s">
        <v>10</v>
      </c>
      <c r="I10" t="s">
        <v>11</v>
      </c>
      <c r="J10" t="s">
        <v>12</v>
      </c>
      <c r="K10" t="s">
        <v>13</v>
      </c>
      <c r="L10" t="s">
        <v>14</v>
      </c>
    </row>
    <row r="11" spans="1:12" ht="43" x14ac:dyDescent="0.2">
      <c r="A11" s="5" t="s">
        <v>45</v>
      </c>
      <c r="B11" s="8">
        <v>1</v>
      </c>
      <c r="C11" s="7" t="s">
        <v>46</v>
      </c>
      <c r="D11">
        <v>1</v>
      </c>
      <c r="E11" s="6" t="s">
        <v>47</v>
      </c>
      <c r="F11">
        <v>12</v>
      </c>
      <c r="G11">
        <v>0.5</v>
      </c>
      <c r="H11" t="s">
        <v>48</v>
      </c>
      <c r="I11" t="s">
        <v>49</v>
      </c>
      <c r="J11" t="s">
        <v>21</v>
      </c>
      <c r="K11">
        <v>1</v>
      </c>
      <c r="L11" t="s">
        <v>50</v>
      </c>
    </row>
    <row r="12" spans="1:12" ht="16" x14ac:dyDescent="0.2">
      <c r="B12" s="10">
        <v>2</v>
      </c>
      <c r="C12" s="6" t="s">
        <v>51</v>
      </c>
      <c r="D12">
        <v>1</v>
      </c>
      <c r="E12" s="6" t="s">
        <v>47</v>
      </c>
      <c r="F12">
        <v>12</v>
      </c>
      <c r="G12">
        <v>0.35</v>
      </c>
      <c r="H12" t="s">
        <v>52</v>
      </c>
      <c r="I12" t="s">
        <v>49</v>
      </c>
      <c r="J12" t="s">
        <v>21</v>
      </c>
      <c r="K12">
        <v>1</v>
      </c>
      <c r="L12" t="s">
        <v>50</v>
      </c>
    </row>
    <row r="13" spans="1:12" ht="16" x14ac:dyDescent="0.2">
      <c r="A13" s="7"/>
      <c r="B13" s="10">
        <v>3</v>
      </c>
      <c r="C13" s="6" t="s">
        <v>53</v>
      </c>
      <c r="D13" s="6">
        <v>1</v>
      </c>
      <c r="E13" s="6" t="s">
        <v>54</v>
      </c>
      <c r="F13">
        <v>15</v>
      </c>
      <c r="G13">
        <v>0.35</v>
      </c>
      <c r="H13" t="s">
        <v>52</v>
      </c>
      <c r="I13" t="s">
        <v>49</v>
      </c>
      <c r="J13" t="s">
        <v>21</v>
      </c>
      <c r="K13">
        <v>1</v>
      </c>
      <c r="L13" t="s">
        <v>55</v>
      </c>
    </row>
    <row r="14" spans="1:12" ht="14" x14ac:dyDescent="0.15">
      <c r="B14" s="11">
        <v>4</v>
      </c>
      <c r="C14" s="5" t="s">
        <v>56</v>
      </c>
      <c r="D14">
        <v>1</v>
      </c>
      <c r="E14" t="s">
        <v>47</v>
      </c>
      <c r="F14">
        <v>15</v>
      </c>
      <c r="G14">
        <v>0.3</v>
      </c>
      <c r="H14" t="s">
        <v>52</v>
      </c>
      <c r="I14" t="s">
        <v>49</v>
      </c>
      <c r="J14" t="s">
        <v>21</v>
      </c>
      <c r="K14">
        <v>1</v>
      </c>
      <c r="L14" t="s">
        <v>55</v>
      </c>
    </row>
    <row r="15" spans="1:12" ht="16" x14ac:dyDescent="0.2">
      <c r="A15" s="7"/>
      <c r="B15" s="11">
        <v>5</v>
      </c>
      <c r="C15" s="5" t="s">
        <v>57</v>
      </c>
      <c r="D15" s="6">
        <v>1</v>
      </c>
      <c r="E15" s="6" t="s">
        <v>58</v>
      </c>
      <c r="F15">
        <v>5</v>
      </c>
      <c r="G15">
        <v>0.35</v>
      </c>
      <c r="H15" t="s">
        <v>52</v>
      </c>
      <c r="I15" t="s">
        <v>49</v>
      </c>
      <c r="J15" t="s">
        <v>21</v>
      </c>
      <c r="K15">
        <v>1</v>
      </c>
      <c r="L15" t="s">
        <v>59</v>
      </c>
    </row>
    <row r="16" spans="1:12" ht="16" x14ac:dyDescent="0.2">
      <c r="A16" s="7"/>
      <c r="B16" s="11">
        <v>6</v>
      </c>
      <c r="C16" s="5" t="s">
        <v>60</v>
      </c>
      <c r="D16" s="6">
        <v>1</v>
      </c>
      <c r="E16" s="6" t="s">
        <v>47</v>
      </c>
      <c r="F16">
        <v>20</v>
      </c>
      <c r="G16">
        <v>0.35</v>
      </c>
      <c r="H16" t="s">
        <v>52</v>
      </c>
      <c r="I16" t="s">
        <v>49</v>
      </c>
      <c r="J16" t="s">
        <v>21</v>
      </c>
      <c r="K16">
        <v>1</v>
      </c>
      <c r="L16" t="s">
        <v>50</v>
      </c>
    </row>
    <row r="17" spans="1:12" ht="16" x14ac:dyDescent="0.2">
      <c r="A17" s="6"/>
      <c r="B17" s="11">
        <v>7</v>
      </c>
      <c r="C17" s="5" t="s">
        <v>61</v>
      </c>
      <c r="D17" s="6">
        <v>1</v>
      </c>
      <c r="E17" s="6" t="s">
        <v>54</v>
      </c>
      <c r="F17">
        <v>15</v>
      </c>
      <c r="G17">
        <v>0.35</v>
      </c>
      <c r="H17" t="s">
        <v>52</v>
      </c>
      <c r="I17" t="s">
        <v>49</v>
      </c>
      <c r="J17" t="s">
        <v>21</v>
      </c>
      <c r="K17">
        <v>1</v>
      </c>
      <c r="L17" t="s">
        <v>55</v>
      </c>
    </row>
    <row r="18" spans="1:12" ht="16" x14ac:dyDescent="0.2">
      <c r="A18" s="6"/>
      <c r="B18" s="11">
        <v>8</v>
      </c>
      <c r="C18" s="5" t="s">
        <v>62</v>
      </c>
      <c r="D18" s="6">
        <v>1</v>
      </c>
      <c r="E18" s="6" t="s">
        <v>63</v>
      </c>
      <c r="F18">
        <v>40</v>
      </c>
      <c r="G18">
        <v>0.1</v>
      </c>
      <c r="H18" t="s">
        <v>52</v>
      </c>
      <c r="I18" t="s">
        <v>49</v>
      </c>
      <c r="J18" t="s">
        <v>21</v>
      </c>
      <c r="K18">
        <v>1</v>
      </c>
      <c r="L18" t="s">
        <v>59</v>
      </c>
    </row>
    <row r="19" spans="1:12" ht="14" x14ac:dyDescent="0.15">
      <c r="B19" s="11">
        <v>9</v>
      </c>
      <c r="C19" s="5" t="s">
        <v>19</v>
      </c>
      <c r="D19">
        <v>1</v>
      </c>
      <c r="E19" t="s">
        <v>64</v>
      </c>
      <c r="F19">
        <v>4</v>
      </c>
      <c r="G19">
        <v>0.3</v>
      </c>
      <c r="H19" t="s">
        <v>52</v>
      </c>
      <c r="I19" t="s">
        <v>49</v>
      </c>
      <c r="J19" t="s">
        <v>21</v>
      </c>
      <c r="K19">
        <v>1</v>
      </c>
      <c r="L19" t="s">
        <v>50</v>
      </c>
    </row>
    <row r="20" spans="1:12" ht="14" x14ac:dyDescent="0.15">
      <c r="B20" s="11">
        <v>10</v>
      </c>
      <c r="C20" s="5" t="s">
        <v>65</v>
      </c>
      <c r="D20">
        <v>1</v>
      </c>
      <c r="E20" t="s">
        <v>66</v>
      </c>
      <c r="F20">
        <v>40</v>
      </c>
      <c r="G20">
        <v>0.75</v>
      </c>
      <c r="H20" t="s">
        <v>52</v>
      </c>
      <c r="I20" t="s">
        <v>49</v>
      </c>
      <c r="J20" t="s">
        <v>21</v>
      </c>
      <c r="K20">
        <v>1</v>
      </c>
      <c r="L20" t="s">
        <v>50</v>
      </c>
    </row>
    <row r="21" spans="1:12" ht="14" x14ac:dyDescent="0.15">
      <c r="B21" s="11">
        <v>11</v>
      </c>
      <c r="C21" s="5" t="s">
        <v>67</v>
      </c>
      <c r="D21">
        <v>1</v>
      </c>
      <c r="E21" t="s">
        <v>68</v>
      </c>
      <c r="F21">
        <v>40</v>
      </c>
      <c r="G21">
        <v>7.4999999999999997E-2</v>
      </c>
      <c r="H21" t="s">
        <v>52</v>
      </c>
      <c r="I21" t="s">
        <v>49</v>
      </c>
      <c r="J21" t="s">
        <v>21</v>
      </c>
      <c r="K21">
        <v>1</v>
      </c>
      <c r="L21" t="s">
        <v>55</v>
      </c>
    </row>
    <row r="22" spans="1:12" ht="14" x14ac:dyDescent="0.15">
      <c r="B22" s="11">
        <v>12</v>
      </c>
      <c r="C22" s="5" t="s">
        <v>69</v>
      </c>
      <c r="D22">
        <v>1</v>
      </c>
      <c r="E22" t="s">
        <v>47</v>
      </c>
      <c r="F22">
        <v>12</v>
      </c>
      <c r="G22">
        <v>0.35</v>
      </c>
      <c r="H22" t="s">
        <v>52</v>
      </c>
      <c r="I22" t="s">
        <v>49</v>
      </c>
      <c r="J22" t="s">
        <v>21</v>
      </c>
      <c r="K22">
        <v>1</v>
      </c>
      <c r="L22" t="s">
        <v>50</v>
      </c>
    </row>
    <row r="23" spans="1:12" ht="14" x14ac:dyDescent="0.15">
      <c r="B23" s="11">
        <v>13</v>
      </c>
      <c r="C23" s="5" t="s">
        <v>70</v>
      </c>
      <c r="D23">
        <v>1</v>
      </c>
      <c r="E23" t="s">
        <v>66</v>
      </c>
      <c r="F23">
        <v>50</v>
      </c>
      <c r="G23">
        <v>0.5</v>
      </c>
      <c r="H23" t="s">
        <v>52</v>
      </c>
      <c r="I23" t="s">
        <v>49</v>
      </c>
      <c r="J23" t="s">
        <v>21</v>
      </c>
      <c r="K23">
        <v>1</v>
      </c>
      <c r="L23" t="s">
        <v>55</v>
      </c>
    </row>
    <row r="24" spans="1:12" ht="14" x14ac:dyDescent="0.15">
      <c r="B24" s="11">
        <v>14</v>
      </c>
      <c r="C24" s="5" t="s">
        <v>71</v>
      </c>
      <c r="D24">
        <v>1</v>
      </c>
      <c r="E24" t="s">
        <v>72</v>
      </c>
      <c r="F24">
        <v>15</v>
      </c>
      <c r="G24">
        <v>0.35</v>
      </c>
      <c r="H24" t="s">
        <v>52</v>
      </c>
      <c r="I24" t="s">
        <v>49</v>
      </c>
      <c r="J24" t="s">
        <v>21</v>
      </c>
      <c r="K24">
        <v>1</v>
      </c>
      <c r="L24" t="s">
        <v>55</v>
      </c>
    </row>
    <row r="25" spans="1:12" ht="14" x14ac:dyDescent="0.15">
      <c r="B25" s="11">
        <v>15</v>
      </c>
      <c r="C25" s="5" t="s">
        <v>73</v>
      </c>
      <c r="D25">
        <v>1</v>
      </c>
      <c r="E25" t="s">
        <v>74</v>
      </c>
      <c r="F25">
        <v>15</v>
      </c>
      <c r="G25">
        <v>0.5</v>
      </c>
      <c r="H25" t="s">
        <v>52</v>
      </c>
      <c r="I25" t="s">
        <v>49</v>
      </c>
      <c r="J25" t="s">
        <v>21</v>
      </c>
      <c r="K25">
        <v>1</v>
      </c>
      <c r="L25" t="s">
        <v>55</v>
      </c>
    </row>
    <row r="26" spans="1:12" ht="14" x14ac:dyDescent="0.15">
      <c r="B26" s="11">
        <v>16</v>
      </c>
      <c r="C26" s="5" t="s">
        <v>75</v>
      </c>
      <c r="D26">
        <v>1</v>
      </c>
      <c r="E26" t="s">
        <v>76</v>
      </c>
      <c r="F26">
        <v>25</v>
      </c>
      <c r="G26">
        <v>0.4</v>
      </c>
      <c r="H26" t="s">
        <v>52</v>
      </c>
      <c r="I26" t="s">
        <v>49</v>
      </c>
      <c r="J26" t="s">
        <v>21</v>
      </c>
      <c r="K26">
        <v>1</v>
      </c>
      <c r="L26" t="s">
        <v>50</v>
      </c>
    </row>
    <row r="27" spans="1:12" ht="14" x14ac:dyDescent="0.15">
      <c r="B27" s="11">
        <v>17</v>
      </c>
      <c r="C27" s="5" t="s">
        <v>77</v>
      </c>
      <c r="D27">
        <v>1</v>
      </c>
      <c r="E27" t="s">
        <v>74</v>
      </c>
      <c r="F27">
        <v>30</v>
      </c>
      <c r="G27">
        <v>0.5</v>
      </c>
      <c r="H27" t="s">
        <v>52</v>
      </c>
      <c r="I27" t="s">
        <v>49</v>
      </c>
      <c r="J27" t="s">
        <v>21</v>
      </c>
      <c r="K27">
        <v>1</v>
      </c>
      <c r="L27" t="s">
        <v>50</v>
      </c>
    </row>
    <row r="28" spans="1:12" ht="16" x14ac:dyDescent="0.2">
      <c r="A28" s="7"/>
      <c r="B28" s="11">
        <v>18</v>
      </c>
      <c r="C28" s="5" t="s">
        <v>33</v>
      </c>
      <c r="D28" s="6">
        <v>1</v>
      </c>
      <c r="E28" s="6" t="s">
        <v>78</v>
      </c>
      <c r="F28">
        <v>15</v>
      </c>
      <c r="G28">
        <v>0.3</v>
      </c>
      <c r="H28" t="s">
        <v>52</v>
      </c>
      <c r="I28" t="s">
        <v>49</v>
      </c>
      <c r="J28" t="s">
        <v>21</v>
      </c>
      <c r="K28">
        <v>1</v>
      </c>
      <c r="L28" t="s">
        <v>50</v>
      </c>
    </row>
    <row r="29" spans="1:12" ht="16" x14ac:dyDescent="0.2">
      <c r="A29" s="7"/>
      <c r="B29" s="11">
        <v>19</v>
      </c>
      <c r="C29" s="5" t="s">
        <v>79</v>
      </c>
      <c r="D29" s="6">
        <v>1</v>
      </c>
      <c r="E29" s="6" t="s">
        <v>80</v>
      </c>
      <c r="F29">
        <v>15</v>
      </c>
      <c r="G29">
        <v>0.3</v>
      </c>
      <c r="H29" t="s">
        <v>52</v>
      </c>
      <c r="I29" t="s">
        <v>49</v>
      </c>
      <c r="J29" t="s">
        <v>21</v>
      </c>
      <c r="K29">
        <v>1</v>
      </c>
      <c r="L29" t="s">
        <v>50</v>
      </c>
    </row>
    <row r="30" spans="1:12" ht="16" x14ac:dyDescent="0.2">
      <c r="A30" s="5" t="s">
        <v>81</v>
      </c>
      <c r="C30" s="12" t="s">
        <v>80</v>
      </c>
      <c r="D30" s="13"/>
    </row>
    <row r="31" spans="1:12" ht="16" x14ac:dyDescent="0.2">
      <c r="C31" s="14" t="s">
        <v>82</v>
      </c>
      <c r="D31" s="15"/>
    </row>
    <row r="32" spans="1:12" ht="16" x14ac:dyDescent="0.2">
      <c r="C32" s="14" t="s">
        <v>47</v>
      </c>
      <c r="D32" s="15"/>
    </row>
    <row r="33" spans="1:4" ht="16" x14ac:dyDescent="0.2">
      <c r="C33" s="14" t="s">
        <v>66</v>
      </c>
      <c r="D33" s="15"/>
    </row>
    <row r="34" spans="1:4" ht="17" x14ac:dyDescent="0.2">
      <c r="C34" s="16" t="s">
        <v>58</v>
      </c>
      <c r="D34" s="15"/>
    </row>
    <row r="35" spans="1:4" ht="16" x14ac:dyDescent="0.2">
      <c r="B35" s="7"/>
      <c r="C35" s="17" t="s">
        <v>54</v>
      </c>
      <c r="D35" s="15"/>
    </row>
    <row r="36" spans="1:4" ht="16" x14ac:dyDescent="0.2">
      <c r="B36" s="7"/>
      <c r="C36" s="14" t="s">
        <v>63</v>
      </c>
      <c r="D36" s="15"/>
    </row>
    <row r="37" spans="1:4" ht="16" x14ac:dyDescent="0.2">
      <c r="A37" s="7"/>
      <c r="B37"/>
      <c r="C37" s="18" t="s">
        <v>68</v>
      </c>
      <c r="D37" s="19"/>
    </row>
    <row r="38" spans="1:4" ht="16" x14ac:dyDescent="0.2">
      <c r="A38" s="7"/>
      <c r="B38"/>
      <c r="C38" s="18" t="s">
        <v>72</v>
      </c>
      <c r="D38" s="19"/>
    </row>
    <row r="39" spans="1:4" ht="16" x14ac:dyDescent="0.2">
      <c r="A39" s="7"/>
      <c r="B39"/>
      <c r="C39" s="18" t="s">
        <v>74</v>
      </c>
      <c r="D39" s="19"/>
    </row>
    <row r="40" spans="1:4" ht="16" x14ac:dyDescent="0.2">
      <c r="A40" s="7"/>
      <c r="B40"/>
      <c r="C40" s="18" t="s">
        <v>76</v>
      </c>
      <c r="D40" s="19"/>
    </row>
    <row r="41" spans="1:4" ht="16" x14ac:dyDescent="0.2">
      <c r="A41" s="7"/>
      <c r="B41"/>
      <c r="C41" s="18" t="s">
        <v>78</v>
      </c>
      <c r="D41" s="19"/>
    </row>
    <row r="42" spans="1:4" ht="17" x14ac:dyDescent="0.2">
      <c r="A42" s="7" t="s">
        <v>6</v>
      </c>
      <c r="C42" s="5" t="s">
        <v>20</v>
      </c>
    </row>
    <row r="43" spans="1:4" ht="14" x14ac:dyDescent="0.15">
      <c r="A43"/>
      <c r="C43" s="5" t="s">
        <v>83</v>
      </c>
    </row>
    <row r="44" spans="1:4" ht="14" x14ac:dyDescent="0.15">
      <c r="C44" s="5" t="s">
        <v>84</v>
      </c>
    </row>
    <row r="45" spans="1:4" ht="14" x14ac:dyDescent="0.15">
      <c r="C45" s="5" t="s">
        <v>85</v>
      </c>
    </row>
    <row r="47" spans="1:4" ht="28" x14ac:dyDescent="0.15">
      <c r="A47" s="5" t="s">
        <v>86</v>
      </c>
    </row>
    <row r="50" spans="1:3" ht="14" x14ac:dyDescent="0.15">
      <c r="A50" s="5" t="s">
        <v>183</v>
      </c>
      <c r="C50" s="5" t="s">
        <v>184</v>
      </c>
    </row>
    <row r="51" spans="1:3" ht="14" x14ac:dyDescent="0.15">
      <c r="C51" s="5" t="s">
        <v>185</v>
      </c>
    </row>
    <row r="52" spans="1:3" ht="14" x14ac:dyDescent="0.15">
      <c r="C52" s="5" t="s">
        <v>186</v>
      </c>
    </row>
    <row r="53" spans="1:3" ht="14" x14ac:dyDescent="0.15">
      <c r="C53" s="5" t="s">
        <v>187</v>
      </c>
    </row>
    <row r="55" spans="1:3" ht="42" x14ac:dyDescent="0.15">
      <c r="A55" s="5" t="s">
        <v>189</v>
      </c>
      <c r="B55" s="5" t="s">
        <v>190</v>
      </c>
    </row>
    <row r="56" spans="1:3" ht="42" x14ac:dyDescent="0.15">
      <c r="B56" s="5" t="s">
        <v>191</v>
      </c>
    </row>
  </sheetData>
  <dataValidations count="2">
    <dataValidation type="list" operator="equal" allowBlank="1" showErrorMessage="1" sqref="D11:D12" xr:uid="{00000000-0002-0000-0100-000000000000}">
      <formula1>$B$9:$B$10</formula1>
      <formula2>0</formula2>
    </dataValidation>
    <dataValidation type="list" operator="equal" allowBlank="1" showErrorMessage="1" sqref="E1:E9 E11:E1047" xr:uid="{00000000-0002-0000-0100-000001000000}">
      <formula1>$C$30:$C$41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zoomScaleNormal="100" workbookViewId="0"/>
  </sheetViews>
  <sheetFormatPr baseColWidth="10" defaultColWidth="12.1640625" defaultRowHeight="13" x14ac:dyDescent="0.15"/>
  <sheetData>
    <row r="1" spans="1:8" x14ac:dyDescent="0.15">
      <c r="A1" t="s">
        <v>87</v>
      </c>
    </row>
    <row r="2" spans="1:8" x14ac:dyDescent="0.15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8" x14ac:dyDescent="0.15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t="s">
        <v>101</v>
      </c>
      <c r="G3" t="s">
        <v>102</v>
      </c>
      <c r="H3" t="s">
        <v>103</v>
      </c>
    </row>
    <row r="4" spans="1:8" x14ac:dyDescent="0.15">
      <c r="A4" t="s">
        <v>104</v>
      </c>
      <c r="B4" t="s">
        <v>105</v>
      </c>
      <c r="C4" t="s">
        <v>16</v>
      </c>
      <c r="D4" t="s">
        <v>106</v>
      </c>
      <c r="E4" t="s">
        <v>107</v>
      </c>
      <c r="F4" t="s">
        <v>108</v>
      </c>
      <c r="G4" t="s">
        <v>109</v>
      </c>
      <c r="H4" t="s">
        <v>110</v>
      </c>
    </row>
    <row r="5" spans="1:8" x14ac:dyDescent="0.15">
      <c r="A5" t="s">
        <v>30</v>
      </c>
      <c r="B5" t="s">
        <v>111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</row>
    <row r="6" spans="1:8" x14ac:dyDescent="0.15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</row>
    <row r="7" spans="1:8" x14ac:dyDescent="0.15">
      <c r="A7" t="s">
        <v>126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  <c r="H7" t="s">
        <v>133</v>
      </c>
    </row>
    <row r="8" spans="1:8" x14ac:dyDescent="0.15">
      <c r="A8" t="s">
        <v>134</v>
      </c>
      <c r="B8" t="s">
        <v>135</v>
      </c>
      <c r="C8" t="s">
        <v>136</v>
      </c>
      <c r="D8" t="s">
        <v>137</v>
      </c>
      <c r="E8" t="s">
        <v>138</v>
      </c>
      <c r="F8" t="s">
        <v>139</v>
      </c>
      <c r="G8" t="s">
        <v>140</v>
      </c>
      <c r="H8" t="s">
        <v>141</v>
      </c>
    </row>
    <row r="9" spans="1:8" x14ac:dyDescent="0.15">
      <c r="A9" t="s">
        <v>142</v>
      </c>
      <c r="B9" t="s">
        <v>143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</row>
    <row r="10" spans="1:8" x14ac:dyDescent="0.15">
      <c r="A10" t="s">
        <v>150</v>
      </c>
      <c r="B10" t="s">
        <v>151</v>
      </c>
      <c r="C10" t="s">
        <v>152</v>
      </c>
      <c r="D10" t="s">
        <v>153</v>
      </c>
      <c r="E10" t="s">
        <v>154</v>
      </c>
      <c r="F10" t="s">
        <v>155</v>
      </c>
      <c r="G10" t="s">
        <v>156</v>
      </c>
      <c r="H10" t="s">
        <v>157</v>
      </c>
    </row>
    <row r="11" spans="1:8" x14ac:dyDescent="0.15">
      <c r="A11" t="s">
        <v>158</v>
      </c>
      <c r="B11" t="s">
        <v>159</v>
      </c>
      <c r="C11" t="s">
        <v>160</v>
      </c>
      <c r="D11" t="s">
        <v>161</v>
      </c>
      <c r="E11" t="s">
        <v>162</v>
      </c>
      <c r="F11" t="s">
        <v>163</v>
      </c>
      <c r="G11" t="s">
        <v>164</v>
      </c>
      <c r="H11" t="s">
        <v>165</v>
      </c>
    </row>
    <row r="12" spans="1:8" x14ac:dyDescent="0.15">
      <c r="A12" t="s">
        <v>166</v>
      </c>
      <c r="B12" t="s">
        <v>167</v>
      </c>
      <c r="C12" t="s">
        <v>168</v>
      </c>
      <c r="D12" t="s">
        <v>169</v>
      </c>
      <c r="E12" t="s">
        <v>170</v>
      </c>
      <c r="F12" t="s">
        <v>171</v>
      </c>
      <c r="G12" t="s">
        <v>172</v>
      </c>
      <c r="H12" t="s">
        <v>173</v>
      </c>
    </row>
    <row r="13" spans="1:8" x14ac:dyDescent="0.15">
      <c r="A13" t="s">
        <v>174</v>
      </c>
      <c r="B13" t="s">
        <v>175</v>
      </c>
      <c r="C13" t="s">
        <v>176</v>
      </c>
      <c r="D13" t="s">
        <v>177</v>
      </c>
      <c r="E13" t="s">
        <v>178</v>
      </c>
      <c r="F13" t="s">
        <v>179</v>
      </c>
      <c r="G13" t="s">
        <v>180</v>
      </c>
      <c r="H13" t="s">
        <v>181</v>
      </c>
    </row>
    <row r="15" spans="1:8" x14ac:dyDescent="0.15">
      <c r="A15" t="s">
        <v>182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12265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Info</vt:lpstr>
      <vt:lpstr>Agilent_Tray_format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Byrnes, James</cp:lastModifiedBy>
  <cp:revision>132</cp:revision>
  <dcterms:created xsi:type="dcterms:W3CDTF">2023-09-26T17:23:52Z</dcterms:created>
  <dcterms:modified xsi:type="dcterms:W3CDTF">2025-11-19T14:56:07Z</dcterms:modified>
  <dc:language>en-US</dc:language>
</cp:coreProperties>
</file>